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26625C7-B234-491B-BCC3-2F66BAEB054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Advertiser" sheetId="2" r:id="rId1"/>
    <sheet name="ADV RISET NEW" sheetId="1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J640" i="16"/>
  <c r="H638" i="16"/>
  <c r="J638" i="16" s="1"/>
  <c r="J636" i="16"/>
  <c r="J631" i="16"/>
  <c r="J629" i="16"/>
  <c r="J626" i="16"/>
  <c r="J623" i="16"/>
  <c r="J617" i="16"/>
  <c r="J613" i="16"/>
  <c r="J610" i="16"/>
  <c r="J607" i="16"/>
  <c r="J606" i="16"/>
  <c r="J605" i="16"/>
  <c r="J602" i="16"/>
  <c r="J600" i="16"/>
  <c r="J599" i="16"/>
  <c r="J598" i="16"/>
  <c r="J597" i="16"/>
  <c r="J596" i="16"/>
  <c r="J595" i="16"/>
  <c r="J594" i="16"/>
  <c r="J593" i="16"/>
  <c r="J592" i="16"/>
  <c r="J591" i="16"/>
  <c r="J590" i="16"/>
  <c r="J589" i="16"/>
  <c r="H588" i="16"/>
  <c r="J588" i="16" s="1"/>
  <c r="J587" i="16"/>
  <c r="J586" i="16"/>
  <c r="J584" i="16"/>
  <c r="J583" i="16"/>
  <c r="J582" i="16"/>
  <c r="J581" i="16"/>
  <c r="J580" i="16"/>
  <c r="J579" i="16"/>
  <c r="E575" i="16"/>
  <c r="J575" i="16" s="1"/>
  <c r="D575" i="16"/>
  <c r="D574" i="16"/>
  <c r="E574" i="16" s="1"/>
  <c r="J574" i="16" s="1"/>
  <c r="J560" i="16"/>
  <c r="H558" i="16"/>
  <c r="J558" i="16" s="1"/>
  <c r="J556" i="16"/>
  <c r="J551" i="16"/>
  <c r="J549" i="16"/>
  <c r="J546" i="16"/>
  <c r="J543" i="16"/>
  <c r="J537" i="16"/>
  <c r="J533" i="16"/>
  <c r="J530" i="16"/>
  <c r="J527" i="16"/>
  <c r="J526" i="16"/>
  <c r="J525" i="16"/>
  <c r="J522" i="16"/>
  <c r="J520" i="16"/>
  <c r="J519" i="16"/>
  <c r="J518" i="16"/>
  <c r="J517" i="16"/>
  <c r="J516" i="16"/>
  <c r="J515" i="16"/>
  <c r="J514" i="16"/>
  <c r="J513" i="16"/>
  <c r="J512" i="16"/>
  <c r="J511" i="16"/>
  <c r="H510" i="16"/>
  <c r="J510" i="16" s="1"/>
  <c r="J509" i="16"/>
  <c r="J508" i="16"/>
  <c r="J507" i="16"/>
  <c r="J506" i="16"/>
  <c r="J504" i="16"/>
  <c r="J503" i="16"/>
  <c r="J502" i="16"/>
  <c r="J501" i="16"/>
  <c r="J500" i="16"/>
  <c r="J499" i="16"/>
  <c r="E495" i="16"/>
  <c r="J495" i="16" s="1"/>
  <c r="D495" i="16"/>
  <c r="D494" i="16"/>
  <c r="E494" i="16" s="1"/>
  <c r="J494" i="16" s="1"/>
  <c r="J480" i="16"/>
  <c r="J478" i="16"/>
  <c r="J476" i="16"/>
  <c r="J471" i="16"/>
  <c r="J469" i="16"/>
  <c r="J466" i="16"/>
  <c r="J463" i="16"/>
  <c r="J457" i="16"/>
  <c r="J453" i="16"/>
  <c r="J450" i="16"/>
  <c r="J447" i="16"/>
  <c r="J446" i="16"/>
  <c r="J445" i="16"/>
  <c r="J442" i="16"/>
  <c r="J440" i="16"/>
  <c r="J439" i="16"/>
  <c r="J438" i="16"/>
  <c r="J437" i="16"/>
  <c r="J436" i="16"/>
  <c r="J435" i="16"/>
  <c r="J434" i="16"/>
  <c r="J433" i="16"/>
  <c r="J432" i="16"/>
  <c r="J431" i="16"/>
  <c r="H430" i="16"/>
  <c r="J430" i="16" s="1"/>
  <c r="J429" i="16"/>
  <c r="H428" i="16"/>
  <c r="J428" i="16" s="1"/>
  <c r="J427" i="16"/>
  <c r="J426" i="16"/>
  <c r="H424" i="16"/>
  <c r="J424" i="16" s="1"/>
  <c r="J423" i="16"/>
  <c r="J422" i="16"/>
  <c r="J421" i="16"/>
  <c r="J420" i="16"/>
  <c r="H419" i="16"/>
  <c r="J419" i="16" s="1"/>
  <c r="H418" i="16"/>
  <c r="J418" i="16" s="1"/>
  <c r="E414" i="16"/>
  <c r="J414" i="16" s="1"/>
  <c r="D414" i="16"/>
  <c r="D413" i="16"/>
  <c r="E413" i="16" s="1"/>
  <c r="J413" i="16" s="1"/>
  <c r="J399" i="16"/>
  <c r="J397" i="16"/>
  <c r="J395" i="16"/>
  <c r="J390" i="16"/>
  <c r="J388" i="16"/>
  <c r="J385" i="16"/>
  <c r="J382" i="16"/>
  <c r="J376" i="16"/>
  <c r="J372" i="16"/>
  <c r="J369" i="16"/>
  <c r="J366" i="16"/>
  <c r="J365" i="16"/>
  <c r="J364" i="16"/>
  <c r="J361" i="16"/>
  <c r="H359" i="16"/>
  <c r="J359" i="16" s="1"/>
  <c r="J358" i="16"/>
  <c r="J357" i="16"/>
  <c r="H356" i="16"/>
  <c r="J356" i="16" s="1"/>
  <c r="H355" i="16"/>
  <c r="J355" i="16" s="1"/>
  <c r="J354" i="16"/>
  <c r="J353" i="16"/>
  <c r="J352" i="16"/>
  <c r="J351" i="16"/>
  <c r="J350" i="16"/>
  <c r="H349" i="16"/>
  <c r="J349" i="16" s="1"/>
  <c r="H348" i="16"/>
  <c r="J348" i="16" s="1"/>
  <c r="H347" i="16"/>
  <c r="J347" i="16" s="1"/>
  <c r="H346" i="16"/>
  <c r="J346" i="16" s="1"/>
  <c r="H345" i="16"/>
  <c r="J345" i="16" s="1"/>
  <c r="H344" i="16"/>
  <c r="J344" i="16" s="1"/>
  <c r="H342" i="16"/>
  <c r="J342" i="16" s="1"/>
  <c r="H341" i="16"/>
  <c r="J341" i="16" s="1"/>
  <c r="J340" i="16"/>
  <c r="J339" i="16"/>
  <c r="J338" i="16"/>
  <c r="H337" i="16"/>
  <c r="J337" i="16" s="1"/>
  <c r="H336" i="16"/>
  <c r="J336" i="16" s="1"/>
  <c r="D332" i="16"/>
  <c r="E332" i="16" s="1"/>
  <c r="J332" i="16" s="1"/>
  <c r="D331" i="16"/>
  <c r="E331" i="16" s="1"/>
  <c r="J331" i="16" s="1"/>
  <c r="J317" i="16"/>
  <c r="J315" i="16"/>
  <c r="J313" i="16"/>
  <c r="J308" i="16"/>
  <c r="J306" i="16"/>
  <c r="J303" i="16"/>
  <c r="J300" i="16"/>
  <c r="J294" i="16"/>
  <c r="J290" i="16"/>
  <c r="J287" i="16"/>
  <c r="J284" i="16"/>
  <c r="J283" i="16"/>
  <c r="J282" i="16"/>
  <c r="J279" i="16"/>
  <c r="J277" i="16"/>
  <c r="H276" i="16"/>
  <c r="J276" i="16" s="1"/>
  <c r="J275" i="16"/>
  <c r="J274" i="16"/>
  <c r="J273" i="16"/>
  <c r="J272" i="16"/>
  <c r="J271" i="16"/>
  <c r="J270" i="16"/>
  <c r="J269" i="16"/>
  <c r="H268" i="16"/>
  <c r="J268" i="16" s="1"/>
  <c r="H267" i="16"/>
  <c r="J267" i="16" s="1"/>
  <c r="J266" i="16"/>
  <c r="H265" i="16"/>
  <c r="J265" i="16" s="1"/>
  <c r="J264" i="16"/>
  <c r="J263" i="16"/>
  <c r="H261" i="16"/>
  <c r="J261" i="16" s="1"/>
  <c r="J260" i="16"/>
  <c r="J259" i="16"/>
  <c r="J258" i="16"/>
  <c r="H257" i="16"/>
  <c r="J257" i="16" s="1"/>
  <c r="H256" i="16"/>
  <c r="J256" i="16" s="1"/>
  <c r="E252" i="16"/>
  <c r="J252" i="16" s="1"/>
  <c r="D252" i="16"/>
  <c r="E251" i="16"/>
  <c r="J251" i="16" s="1"/>
  <c r="D251" i="16"/>
  <c r="J236" i="16"/>
  <c r="J234" i="16"/>
  <c r="J232" i="16"/>
  <c r="J230" i="16"/>
  <c r="J225" i="16"/>
  <c r="H223" i="16"/>
  <c r="J223" i="16" s="1"/>
  <c r="H220" i="16"/>
  <c r="J220" i="16" s="1"/>
  <c r="J217" i="16"/>
  <c r="J211" i="16"/>
  <c r="J207" i="16"/>
  <c r="J205" i="16"/>
  <c r="J204" i="16"/>
  <c r="J203" i="16"/>
  <c r="J200" i="16"/>
  <c r="H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240" i="16" s="1"/>
  <c r="J182" i="16"/>
  <c r="J181" i="16"/>
  <c r="J180" i="16"/>
  <c r="J179" i="16"/>
  <c r="J178" i="16"/>
  <c r="J177" i="16"/>
  <c r="J156" i="16"/>
  <c r="J154" i="16"/>
  <c r="J152" i="16"/>
  <c r="J150" i="16"/>
  <c r="J145" i="16"/>
  <c r="J143" i="16"/>
  <c r="J140" i="16"/>
  <c r="J137" i="16"/>
  <c r="J131" i="16"/>
  <c r="J127" i="16"/>
  <c r="J125" i="16"/>
  <c r="J124" i="16"/>
  <c r="J123" i="16"/>
  <c r="J120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1" i="16"/>
  <c r="J100" i="16"/>
  <c r="J99" i="16"/>
  <c r="J98" i="16"/>
  <c r="J97" i="16"/>
  <c r="J96" i="16"/>
  <c r="J95" i="16"/>
  <c r="J74" i="16"/>
  <c r="J72" i="16"/>
  <c r="J70" i="16"/>
  <c r="J68" i="16"/>
  <c r="J63" i="16"/>
  <c r="J61" i="16"/>
  <c r="J58" i="16"/>
  <c r="J55" i="16"/>
  <c r="J49" i="16"/>
  <c r="J45" i="16"/>
  <c r="J43" i="16"/>
  <c r="J42" i="16"/>
  <c r="J41" i="16"/>
  <c r="J38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0" i="16"/>
  <c r="J19" i="16"/>
  <c r="J18" i="16"/>
  <c r="J17" i="16"/>
  <c r="J16" i="16"/>
  <c r="J15" i="16"/>
  <c r="H14" i="16"/>
  <c r="J14" i="16" s="1"/>
  <c r="J78" i="16" s="1"/>
  <c r="J27" i="2"/>
  <c r="J26" i="2"/>
  <c r="J25" i="2"/>
  <c r="J24" i="2"/>
  <c r="J28" i="2" s="1"/>
  <c r="D22" i="2"/>
  <c r="C22" i="2"/>
  <c r="D21" i="2"/>
  <c r="C21" i="2"/>
  <c r="F20" i="2"/>
  <c r="J20" i="2" s="1"/>
  <c r="F19" i="2"/>
  <c r="J19" i="2" s="1"/>
  <c r="C17" i="2"/>
  <c r="F16" i="2"/>
  <c r="J16" i="2" s="1"/>
  <c r="F15" i="2"/>
  <c r="S14" i="2"/>
  <c r="C13" i="2"/>
  <c r="F12" i="2"/>
  <c r="J12" i="2"/>
  <c r="F11" i="2"/>
  <c r="J11" i="2" s="1"/>
  <c r="Q10" i="2"/>
  <c r="F9" i="2"/>
  <c r="J9" i="2"/>
  <c r="J8" i="2"/>
  <c r="Q7" i="2"/>
  <c r="D6" i="2"/>
  <c r="C6" i="2"/>
  <c r="H36" i="16" l="1"/>
  <c r="L31" i="16" s="1"/>
  <c r="J642" i="16"/>
  <c r="F10" i="2"/>
  <c r="J10" i="2" s="1"/>
  <c r="D17" i="2"/>
  <c r="J160" i="16"/>
  <c r="J15" i="2"/>
  <c r="D13" i="2"/>
  <c r="J319" i="16"/>
  <c r="J401" i="16"/>
  <c r="J482" i="16"/>
  <c r="J562" i="16"/>
  <c r="J22" i="2" l="1"/>
  <c r="J29" i="2" s="1"/>
</calcChain>
</file>

<file path=xl/sharedStrings.xml><?xml version="1.0" encoding="utf-8"?>
<sst xmlns="http://schemas.openxmlformats.org/spreadsheetml/2006/main" count="1344" uniqueCount="145">
  <si>
    <t>FEBRUARI</t>
  </si>
  <si>
    <t>PT QUANTUM KING SULAIMAN</t>
  </si>
  <si>
    <t>KPI : ADVERTISER BEMOMIO</t>
  </si>
  <si>
    <t>BULAN: FEBRUARI 2026</t>
  </si>
  <si>
    <t>No</t>
  </si>
  <si>
    <t>ITEM PENILAIAN PERFORMA</t>
  </si>
  <si>
    <t>BOBOT</t>
  </si>
  <si>
    <t>POINT TOTAL</t>
  </si>
  <si>
    <t>UNIT PER ACH</t>
  </si>
  <si>
    <t>POINT ACH</t>
  </si>
  <si>
    <t>TARGET 
MINIMAL</t>
  </si>
  <si>
    <t>UNIT</t>
  </si>
  <si>
    <t>ACHIEVE 
MONTHLY</t>
  </si>
  <si>
    <t>GET POINT</t>
  </si>
  <si>
    <t>GOAL PERFORMANCE</t>
  </si>
  <si>
    <t xml:space="preserve">META </t>
  </si>
  <si>
    <t xml:space="preserve">Cost Akuisisi Iklan </t>
  </si>
  <si>
    <t>Cost Acq (%)</t>
  </si>
  <si>
    <t>Present. (%)</t>
  </si>
  <si>
    <t>Cost Per Lead</t>
  </si>
  <si>
    <t>Cost / Lead</t>
  </si>
  <si>
    <t>Botol</t>
  </si>
  <si>
    <t>Impresi</t>
  </si>
  <si>
    <t>Angka</t>
  </si>
  <si>
    <t>CPM</t>
  </si>
  <si>
    <t>Cost/1.000 Impresi</t>
  </si>
  <si>
    <t>Total</t>
  </si>
  <si>
    <t>SHOPEE</t>
  </si>
  <si>
    <t>Botol Terjual</t>
  </si>
  <si>
    <t>Strategi &amp; Performa</t>
  </si>
  <si>
    <t>Fake Order</t>
  </si>
  <si>
    <t>PER RESI</t>
  </si>
  <si>
    <t>RESI</t>
  </si>
  <si>
    <t>Bikin Script Konten</t>
  </si>
  <si>
    <t>PER KONTEN</t>
  </si>
  <si>
    <t>KONTEN</t>
  </si>
  <si>
    <t>SUB TOTAL</t>
  </si>
  <si>
    <t>PENGURANGAN POIN</t>
  </si>
  <si>
    <t>Pengurangan poin adalah berdasarkan bukti bukti yang sudah dicompile oleh atasan</t>
  </si>
  <si>
    <t>Pemalsuan Data</t>
  </si>
  <si>
    <t>Kejadian</t>
  </si>
  <si>
    <t>Challenge / Perintah Atasan</t>
  </si>
  <si>
    <t>Tidak Mengerjakan KAK Mingguan</t>
  </si>
  <si>
    <t>Absensi</t>
  </si>
  <si>
    <t>GRAND TOTAL</t>
  </si>
  <si>
    <t>PAKET</t>
  </si>
  <si>
    <t>%</t>
  </si>
  <si>
    <t>TARGET MINIMAL</t>
  </si>
  <si>
    <t>ACHIEVE MONTHLY</t>
  </si>
  <si>
    <t>GET POIN</t>
  </si>
  <si>
    <t>PT ETHOS KREATIF INDONESIA</t>
  </si>
  <si>
    <t>KPI : TEAM ADVERTISER RISET ( LEADER : DIMAS W. PUTRA)</t>
  </si>
  <si>
    <t>V. P. B. GILANG GEMILANG</t>
  </si>
  <si>
    <t>BASIC PERFORMANCE</t>
  </si>
  <si>
    <t>ABSENSI</t>
  </si>
  <si>
    <t>HARI</t>
  </si>
  <si>
    <t>KETERLAMBATAN</t>
  </si>
  <si>
    <t>TELAT</t>
  </si>
  <si>
    <t>Pencapaian Total Closing</t>
  </si>
  <si>
    <t>FRESHMAG</t>
  </si>
  <si>
    <t>MAXGRENG</t>
  </si>
  <si>
    <t>RUBE</t>
  </si>
  <si>
    <t>GARLICING</t>
  </si>
  <si>
    <t>DEEP BEAUTY</t>
  </si>
  <si>
    <t>MOMEONG</t>
  </si>
  <si>
    <t>KAPSUL KUTUK</t>
  </si>
  <si>
    <t>GIZIDAT</t>
  </si>
  <si>
    <t>RICHIE RICH</t>
  </si>
  <si>
    <t>MANJAKANI</t>
  </si>
  <si>
    <t>ETAWAKU</t>
  </si>
  <si>
    <t>OPTIMAXX</t>
  </si>
  <si>
    <t>BREASTLOVE</t>
  </si>
  <si>
    <t>SECRET STRIKE</t>
  </si>
  <si>
    <t>BEMOMMY</t>
  </si>
  <si>
    <t>BRISWA</t>
  </si>
  <si>
    <t>SQUAVIT BESAR</t>
  </si>
  <si>
    <t>BENRAPAT</t>
  </si>
  <si>
    <t>GENEROS</t>
  </si>
  <si>
    <t>SAMURALIN</t>
  </si>
  <si>
    <t>LASIATIC</t>
  </si>
  <si>
    <t>ANALISIS RISET NEW PRODUCT</t>
  </si>
  <si>
    <t>Prosentase penilaian</t>
  </si>
  <si>
    <t>POIN CAPAIAN 500 PAKET PERTAMA (NEW PRODUCT)</t>
  </si>
  <si>
    <t>NEW PRODUCT 1( RUBE)</t>
  </si>
  <si>
    <t>NEW PRODUCT 2</t>
  </si>
  <si>
    <t>NEW PRODUCT 3</t>
  </si>
  <si>
    <t>TOTAL COST AKUISISI NEW PRODUCT</t>
  </si>
  <si>
    <t>DUPLIKASI &amp; DEVELOPMENT ROADMAP RISET KE AKUISISI</t>
  </si>
  <si>
    <t>DEVELOPE PLACEMENT NEW PRODUCT</t>
  </si>
  <si>
    <t>A. Placement Konten : Video di Youtube ( review, Endorse, Tips, dan lainnya)</t>
  </si>
  <si>
    <t>A</t>
  </si>
  <si>
    <t>B</t>
  </si>
  <si>
    <t>C</t>
  </si>
  <si>
    <t>&gt;4 Video</t>
  </si>
  <si>
    <t>3-4 Video</t>
  </si>
  <si>
    <t>1-2 Video</t>
  </si>
  <si>
    <t>VIDEO</t>
  </si>
  <si>
    <t>B. Update Timeline Instagram</t>
  </si>
  <si>
    <t>&gt;=20 pic /bulan</t>
  </si>
  <si>
    <t>10-19 Pic / bulan</t>
  </si>
  <si>
    <t>5-9 Pic / bulan</t>
  </si>
  <si>
    <t>PIC</t>
  </si>
  <si>
    <t>C. Placement Konten : Tulisan dan Placement Gambar di blogspot / forum / web</t>
  </si>
  <si>
    <t>&gt;=3 Tulisan</t>
  </si>
  <si>
    <t>2 Tulisan</t>
  </si>
  <si>
    <t>1 Tulisan</t>
  </si>
  <si>
    <t>TULISAN</t>
  </si>
  <si>
    <t>PENCAPAIAN TEAM AKUISISI 5000 PAKET</t>
  </si>
  <si>
    <t>CHARACTER PERFORMANCE</t>
  </si>
  <si>
    <t>Daya Juang / Kegigihan (Overtime)</t>
  </si>
  <si>
    <t>&gt;=15 JAM</t>
  </si>
  <si>
    <t>8 - 14 JAM</t>
  </si>
  <si>
    <t>2- 7 JAM</t>
  </si>
  <si>
    <t>JAM/ BULAN</t>
  </si>
  <si>
    <t>Finding Problem and Solution</t>
  </si>
  <si>
    <t>Challenge Pengembangan Diri</t>
  </si>
  <si>
    <t>&gt;=2 Challenge</t>
  </si>
  <si>
    <t>1 challenge</t>
  </si>
  <si>
    <t>0 challenge</t>
  </si>
  <si>
    <t>CHALLENGE/ BLN</t>
  </si>
  <si>
    <t>Penilaian Karakter oleh Atasan (kepatuhan)</t>
  </si>
  <si>
    <t>RADITIO TRI HUTOMO</t>
  </si>
  <si>
    <t>KURMA</t>
  </si>
  <si>
    <t>TEDI</t>
  </si>
  <si>
    <t>PENCAPAIAN TOTAL CLOSING</t>
  </si>
  <si>
    <t>15.00%</t>
  </si>
  <si>
    <t>BRISWA SERIES</t>
  </si>
  <si>
    <t>KIDS VISION</t>
  </si>
  <si>
    <t>DEOFRESH</t>
  </si>
  <si>
    <t>DEEPOL</t>
  </si>
  <si>
    <t>AKTIVASI PEMBUATAN KONTEN BRANDING</t>
  </si>
  <si>
    <t>RESUME SOP &amp; WINNING TRACK NEW PRODUCT</t>
  </si>
  <si>
    <t>MENTORING &amp; DEVELOPMENT ROADMAP RISET KE AKUISISI</t>
  </si>
  <si>
    <t>5.00%</t>
  </si>
  <si>
    <t>&gt;=4 Video</t>
  </si>
  <si>
    <t>10.00%</t>
  </si>
  <si>
    <t>JAM/BULAN</t>
  </si>
  <si>
    <t>CHALLENGE/BLN</t>
  </si>
  <si>
    <t>WEIGHT HERBA</t>
  </si>
  <si>
    <t>KURMA JUMBO</t>
  </si>
  <si>
    <t>TEDI SETIA MARDANI</t>
  </si>
  <si>
    <t>DEPOL</t>
  </si>
  <si>
    <t>NEW PRODUCT 1( WEIGHT HERBA)</t>
  </si>
  <si>
    <t>WAHID</t>
  </si>
  <si>
    <t>RIFQY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</si>
</sst>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[$Rp]#,##0"/>
    <numFmt numFmtId="166" formatCode="[$Rp-421]#,##0"/>
    <numFmt numFmtId="167" formatCode="mmmm\ yyyy"/>
    <numFmt numFmtId="168" formatCode="#"/>
  </numFmts>
  <fonts count="26" x14ac:knownFonts="1">
    <font>
      <sz val="11"/>
      <color rgb="FF000000"/>
      <name val="Arial"/>
      <scheme val="minor"/>
    </font>
    <font>
      <sz val="11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sz val="11"/>
      <name val="Arial"/>
    </font>
    <font>
      <b/>
      <sz val="14"/>
      <color theme="1"/>
      <name val="Calibri"/>
    </font>
    <font>
      <sz val="14"/>
      <color theme="1"/>
      <name val="Calibri"/>
    </font>
    <font>
      <sz val="13"/>
      <color theme="1"/>
      <name val="Calibri"/>
    </font>
    <font>
      <b/>
      <sz val="11"/>
      <color theme="1"/>
      <name val="Calibri"/>
    </font>
    <font>
      <b/>
      <sz val="13"/>
      <color theme="1"/>
      <name val="Roboto"/>
    </font>
    <font>
      <b/>
      <sz val="12"/>
      <color theme="1"/>
      <name val="Roboto"/>
    </font>
    <font>
      <sz val="13"/>
      <color theme="1"/>
      <name val="Arial"/>
    </font>
    <font>
      <b/>
      <sz val="14"/>
      <color rgb="FF000000"/>
      <name val="Arial"/>
    </font>
    <font>
      <sz val="11"/>
      <color theme="1"/>
      <name val="Arial"/>
      <scheme val="minor"/>
    </font>
    <font>
      <b/>
      <sz val="16"/>
      <color rgb="FF000000"/>
      <name val="Calibri"/>
    </font>
    <font>
      <sz val="16"/>
      <color rgb="FF000000"/>
      <name val="Calibri"/>
    </font>
    <font>
      <sz val="14"/>
      <color rgb="FF000000"/>
      <name val="Calibri"/>
    </font>
    <font>
      <sz val="10"/>
      <color theme="1"/>
      <name val="Calibri"/>
    </font>
    <font>
      <b/>
      <sz val="18"/>
      <color rgb="FF000000"/>
      <name val="Calibri"/>
    </font>
    <font>
      <b/>
      <sz val="14"/>
      <color rgb="FF000000"/>
      <name val="Calibri"/>
    </font>
    <font>
      <b/>
      <sz val="13"/>
      <color rgb="FF000000"/>
      <name val="Calibri"/>
    </font>
    <font>
      <b/>
      <sz val="20"/>
      <color theme="1"/>
      <name val="Calibri"/>
    </font>
    <font>
      <b/>
      <sz val="12"/>
      <color theme="1"/>
      <name val="Calibri"/>
    </font>
    <font>
      <sz val="14"/>
      <color rgb="FF000000"/>
      <name val="Arial"/>
    </font>
    <font>
      <b/>
      <sz val="24"/>
      <color theme="1"/>
      <name val="Calibri"/>
    </font>
    <font>
      <b/>
      <sz val="2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8CBAC"/>
        <bgColor rgb="FFF8CBAC"/>
      </patternFill>
    </fill>
    <fill>
      <patternFill patternType="solid">
        <fgColor rgb="FF8EB6F8"/>
        <bgColor rgb="FF8EB6F8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6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14" borderId="13" xfId="0" applyFont="1" applyFill="1" applyBorder="1"/>
    <xf numFmtId="0" fontId="19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9" fillId="9" borderId="1" xfId="0" applyFont="1" applyFill="1" applyBorder="1"/>
    <xf numFmtId="0" fontId="19" fillId="7" borderId="1" xfId="0" applyFont="1" applyFill="1" applyBorder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0" fontId="19" fillId="9" borderId="1" xfId="0" applyFont="1" applyFill="1" applyBorder="1" applyAlignment="1">
      <alignment horizontal="right"/>
    </xf>
    <xf numFmtId="9" fontId="16" fillId="12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6" fillId="0" borderId="1" xfId="0" applyFont="1" applyBorder="1" applyAlignment="1">
      <alignment horizontal="right"/>
    </xf>
    <xf numFmtId="3" fontId="19" fillId="9" borderId="1" xfId="0" applyNumberFormat="1" applyFont="1" applyFill="1" applyBorder="1" applyAlignment="1">
      <alignment horizontal="right"/>
    </xf>
    <xf numFmtId="0" fontId="19" fillId="10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right"/>
    </xf>
    <xf numFmtId="0" fontId="16" fillId="10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horizontal="right"/>
    </xf>
    <xf numFmtId="0" fontId="19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3" fontId="19" fillId="0" borderId="1" xfId="0" applyNumberFormat="1" applyFont="1" applyBorder="1" applyAlignment="1">
      <alignment horizontal="center"/>
    </xf>
    <xf numFmtId="0" fontId="16" fillId="9" borderId="1" xfId="0" applyFont="1" applyFill="1" applyBorder="1"/>
    <xf numFmtId="0" fontId="16" fillId="12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right"/>
    </xf>
    <xf numFmtId="0" fontId="20" fillId="9" borderId="1" xfId="0" applyFont="1" applyFill="1" applyBorder="1"/>
    <xf numFmtId="0" fontId="16" fillId="9" borderId="1" xfId="0" applyFont="1" applyFill="1" applyBorder="1" applyAlignment="1">
      <alignment horizontal="left"/>
    </xf>
    <xf numFmtId="3" fontId="21" fillId="16" borderId="13" xfId="0" applyNumberFormat="1" applyFont="1" applyFill="1" applyBorder="1"/>
    <xf numFmtId="0" fontId="16" fillId="9" borderId="1" xfId="0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right" vertical="center"/>
    </xf>
    <xf numFmtId="3" fontId="21" fillId="0" borderId="0" xfId="0" applyNumberFormat="1" applyFont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16" fillId="9" borderId="1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wrapText="1"/>
    </xf>
    <xf numFmtId="0" fontId="16" fillId="7" borderId="1" xfId="0" applyFont="1" applyFill="1" applyBorder="1"/>
    <xf numFmtId="0" fontId="19" fillId="9" borderId="1" xfId="0" applyFont="1" applyFill="1" applyBorder="1" applyAlignment="1">
      <alignment horizontal="center"/>
    </xf>
    <xf numFmtId="10" fontId="22" fillId="0" borderId="1" xfId="0" applyNumberFormat="1" applyFont="1" applyBorder="1" applyAlignment="1">
      <alignment horizontal="center" wrapText="1"/>
    </xf>
    <xf numFmtId="3" fontId="22" fillId="0" borderId="1" xfId="0" applyNumberFormat="1" applyFont="1" applyBorder="1" applyAlignment="1">
      <alignment horizontal="center"/>
    </xf>
    <xf numFmtId="1" fontId="19" fillId="7" borderId="1" xfId="0" applyNumberFormat="1" applyFont="1" applyFill="1" applyBorder="1" applyAlignment="1">
      <alignment horizontal="center"/>
    </xf>
    <xf numFmtId="1" fontId="19" fillId="9" borderId="1" xfId="0" applyNumberFormat="1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6" fillId="0" borderId="3" xfId="0" applyFont="1" applyBorder="1"/>
    <xf numFmtId="0" fontId="19" fillId="7" borderId="7" xfId="0" applyFont="1" applyFill="1" applyBorder="1" applyAlignment="1">
      <alignment horizontal="center"/>
    </xf>
    <xf numFmtId="0" fontId="23" fillId="9" borderId="7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9" fontId="16" fillId="12" borderId="7" xfId="0" applyNumberFormat="1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9" borderId="7" xfId="0" applyFont="1" applyFill="1" applyBorder="1" applyAlignment="1">
      <alignment horizontal="center"/>
    </xf>
    <xf numFmtId="0" fontId="19" fillId="17" borderId="7" xfId="0" applyFont="1" applyFill="1" applyBorder="1"/>
    <xf numFmtId="0" fontId="19" fillId="7" borderId="6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9" borderId="7" xfId="0" applyFont="1" applyFill="1" applyBorder="1"/>
    <xf numFmtId="0" fontId="19" fillId="0" borderId="3" xfId="0" applyFont="1" applyBorder="1" applyAlignment="1">
      <alignment horizontal="left"/>
    </xf>
    <xf numFmtId="0" fontId="16" fillId="0" borderId="3" xfId="0" applyFont="1" applyBorder="1" applyAlignment="1">
      <alignment horizontal="right"/>
    </xf>
    <xf numFmtId="168" fontId="16" fillId="9" borderId="7" xfId="0" applyNumberFormat="1" applyFont="1" applyFill="1" applyBorder="1" applyAlignment="1">
      <alignment horizontal="center"/>
    </xf>
    <xf numFmtId="0" fontId="19" fillId="9" borderId="7" xfId="0" applyFont="1" applyFill="1" applyBorder="1" applyAlignment="1">
      <alignment horizontal="right"/>
    </xf>
    <xf numFmtId="0" fontId="19" fillId="18" borderId="6" xfId="0" applyFont="1" applyFill="1" applyBorder="1" applyAlignment="1">
      <alignment horizontal="center"/>
    </xf>
    <xf numFmtId="0" fontId="19" fillId="18" borderId="7" xfId="0" applyFont="1" applyFill="1" applyBorder="1" applyAlignment="1">
      <alignment horizontal="left"/>
    </xf>
    <xf numFmtId="0" fontId="16" fillId="18" borderId="7" xfId="0" applyFont="1" applyFill="1" applyBorder="1" applyAlignment="1">
      <alignment horizontal="right"/>
    </xf>
    <xf numFmtId="0" fontId="19" fillId="18" borderId="7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16" fillId="0" borderId="1" xfId="0" applyFont="1" applyBorder="1" applyAlignment="1">
      <alignment horizontal="right" wrapText="1"/>
    </xf>
    <xf numFmtId="168" fontId="16" fillId="9" borderId="1" xfId="0" applyNumberFormat="1" applyFont="1" applyFill="1" applyBorder="1" applyAlignment="1">
      <alignment horizontal="center"/>
    </xf>
    <xf numFmtId="9" fontId="16" fillId="0" borderId="1" xfId="0" applyNumberFormat="1" applyFont="1" applyBorder="1" applyAlignment="1">
      <alignment horizontal="center"/>
    </xf>
    <xf numFmtId="0" fontId="19" fillId="7" borderId="16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7" borderId="17" xfId="0" applyFont="1" applyFill="1" applyBorder="1" applyAlignment="1">
      <alignment horizontal="center"/>
    </xf>
    <xf numFmtId="0" fontId="19" fillId="7" borderId="18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6" fillId="9" borderId="5" xfId="0" applyFont="1" applyFill="1" applyBorder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16" fillId="9" borderId="1" xfId="0" applyFont="1" applyFill="1" applyBorder="1" applyAlignment="1">
      <alignment horizontal="right"/>
    </xf>
    <xf numFmtId="0" fontId="19" fillId="9" borderId="7" xfId="0" applyFont="1" applyFill="1" applyBorder="1" applyAlignment="1">
      <alignment horizontal="left"/>
    </xf>
    <xf numFmtId="0" fontId="16" fillId="0" borderId="2" xfId="0" applyFont="1" applyBorder="1"/>
    <xf numFmtId="9" fontId="19" fillId="0" borderId="3" xfId="0" applyNumberFormat="1" applyFont="1" applyBorder="1" applyAlignment="1">
      <alignment horizontal="center"/>
    </xf>
    <xf numFmtId="3" fontId="24" fillId="0" borderId="1" xfId="0" applyNumberFormat="1" applyFont="1" applyBorder="1"/>
    <xf numFmtId="9" fontId="16" fillId="9" borderId="7" xfId="0" applyNumberFormat="1" applyFont="1" applyFill="1" applyBorder="1" applyAlignment="1">
      <alignment horizontal="center"/>
    </xf>
    <xf numFmtId="0" fontId="24" fillId="0" borderId="1" xfId="0" applyFont="1" applyBorder="1"/>
    <xf numFmtId="0" fontId="0" fillId="0" borderId="0" xfId="0"/>
    <xf numFmtId="0" fontId="4" fillId="0" borderId="10" xfId="0" applyFont="1" applyBorder="1"/>
    <xf numFmtId="0" fontId="4" fillId="0" borderId="4" xfId="0" applyFont="1" applyBorder="1"/>
    <xf numFmtId="0" fontId="19" fillId="0" borderId="14" xfId="0" applyFont="1" applyBorder="1" applyAlignment="1">
      <alignment horizontal="center"/>
    </xf>
    <xf numFmtId="0" fontId="4" fillId="0" borderId="2" xfId="0" applyFont="1" applyBorder="1"/>
    <xf numFmtId="0" fontId="16" fillId="0" borderId="14" xfId="0" applyFont="1" applyBorder="1" applyAlignment="1">
      <alignment horizontal="left"/>
    </xf>
    <xf numFmtId="0" fontId="19" fillId="7" borderId="8" xfId="0" applyFont="1" applyFill="1" applyBorder="1" applyAlignment="1">
      <alignment horizontal="center"/>
    </xf>
    <xf numFmtId="0" fontId="16" fillId="0" borderId="14" xfId="0" applyFont="1" applyBorder="1"/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19" fillId="7" borderId="8" xfId="0" applyFont="1" applyFill="1" applyBorder="1" applyAlignment="1">
      <alignment horizontal="center" vertical="center"/>
    </xf>
    <xf numFmtId="0" fontId="21" fillId="15" borderId="11" xfId="0" applyFont="1" applyFill="1" applyBorder="1" applyAlignment="1">
      <alignment horizontal="center"/>
    </xf>
    <xf numFmtId="0" fontId="4" fillId="0" borderId="12" xfId="0" applyFont="1" applyBorder="1"/>
    <xf numFmtId="0" fontId="14" fillId="0" borderId="0" xfId="0" applyFont="1"/>
    <xf numFmtId="167" fontId="2" fillId="13" borderId="11" xfId="0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top" wrapText="1"/>
    </xf>
    <xf numFmtId="0" fontId="4" fillId="0" borderId="15" xfId="0" applyFont="1" applyBorder="1"/>
    <xf numFmtId="167" fontId="5" fillId="13" borderId="11" xfId="0" applyNumberFormat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9" fillId="7" borderId="19" xfId="0" applyFont="1" applyFill="1" applyBorder="1" applyAlignment="1">
      <alignment horizontal="center"/>
    </xf>
    <xf numFmtId="0" fontId="4" fillId="0" borderId="20" xfId="0" applyFont="1" applyBorder="1"/>
    <xf numFmtId="0" fontId="4" fillId="0" borderId="9" xfId="0" applyFont="1" applyBorder="1"/>
    <xf numFmtId="0" fontId="16" fillId="0" borderId="14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left"/>
    </xf>
    <xf numFmtId="0" fontId="19" fillId="7" borderId="21" xfId="0" applyFont="1" applyFill="1" applyBorder="1" applyAlignment="1">
      <alignment horizontal="center"/>
    </xf>
    <xf numFmtId="0" fontId="16" fillId="0" borderId="15" xfId="0" applyFont="1" applyBorder="1"/>
    <xf numFmtId="0" fontId="18" fillId="17" borderId="22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5" fillId="19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0" fillId="0" borderId="23" xfId="0" applyBorder="1"/>
    <xf numFmtId="3" fontId="2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0" fontId="5" fillId="0" borderId="23" xfId="0" applyNumberFormat="1" applyFont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 wrapText="1"/>
    </xf>
    <xf numFmtId="3" fontId="5" fillId="2" borderId="23" xfId="0" applyNumberFormat="1" applyFont="1" applyFill="1" applyBorder="1" applyAlignment="1">
      <alignment horizontal="center" vertical="center"/>
    </xf>
    <xf numFmtId="3" fontId="5" fillId="3" borderId="23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vertical="center"/>
    </xf>
    <xf numFmtId="0" fontId="5" fillId="4" borderId="23" xfId="0" applyFont="1" applyFill="1" applyBorder="1" applyAlignment="1">
      <alignment horizontal="center" vertical="center"/>
    </xf>
    <xf numFmtId="9" fontId="2" fillId="4" borderId="23" xfId="0" applyNumberFormat="1" applyFont="1" applyFill="1" applyBorder="1" applyAlignment="1">
      <alignment horizontal="center" vertical="center"/>
    </xf>
    <xf numFmtId="3" fontId="2" fillId="4" borderId="23" xfId="0" applyNumberFormat="1" applyFont="1" applyFill="1" applyBorder="1" applyAlignment="1">
      <alignment horizontal="center" vertical="center"/>
    </xf>
    <xf numFmtId="3" fontId="1" fillId="4" borderId="23" xfId="0" applyNumberFormat="1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3" fontId="1" fillId="5" borderId="23" xfId="0" applyNumberFormat="1" applyFont="1" applyFill="1" applyBorder="1" applyAlignment="1">
      <alignment vertical="center"/>
    </xf>
    <xf numFmtId="0" fontId="6" fillId="6" borderId="23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vertical="center"/>
    </xf>
    <xf numFmtId="9" fontId="5" fillId="6" borderId="23" xfId="0" applyNumberFormat="1" applyFont="1" applyFill="1" applyBorder="1" applyAlignment="1">
      <alignment horizontal="center" vertical="center"/>
    </xf>
    <xf numFmtId="3" fontId="5" fillId="6" borderId="23" xfId="0" applyNumberFormat="1" applyFont="1" applyFill="1" applyBorder="1" applyAlignment="1">
      <alignment horizontal="center" vertical="center"/>
    </xf>
    <xf numFmtId="10" fontId="1" fillId="6" borderId="23" xfId="0" applyNumberFormat="1" applyFont="1" applyFill="1" applyBorder="1" applyAlignment="1">
      <alignment vertical="center"/>
    </xf>
    <xf numFmtId="3" fontId="1" fillId="6" borderId="23" xfId="0" applyNumberFormat="1" applyFont="1" applyFill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3" fontId="1" fillId="0" borderId="23" xfId="0" applyNumberFormat="1" applyFont="1" applyBorder="1" applyAlignment="1">
      <alignment vertical="center"/>
    </xf>
    <xf numFmtId="0" fontId="7" fillId="0" borderId="23" xfId="0" applyFont="1" applyBorder="1" applyAlignment="1">
      <alignment horizontal="right" vertical="center"/>
    </xf>
    <xf numFmtId="9" fontId="8" fillId="0" borderId="23" xfId="0" applyNumberFormat="1" applyFont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10" fontId="5" fillId="2" borderId="23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9" fontId="6" fillId="3" borderId="23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right" vertical="center"/>
    </xf>
    <xf numFmtId="3" fontId="6" fillId="3" borderId="2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right" vertical="center"/>
    </xf>
    <xf numFmtId="9" fontId="8" fillId="2" borderId="23" xfId="0" applyNumberFormat="1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3" fontId="6" fillId="2" borderId="23" xfId="0" applyNumberFormat="1" applyFont="1" applyFill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3" fontId="9" fillId="0" borderId="23" xfId="0" applyNumberFormat="1" applyFont="1" applyBorder="1" applyAlignment="1">
      <alignment horizontal="right" vertical="center"/>
    </xf>
    <xf numFmtId="3" fontId="9" fillId="7" borderId="23" xfId="0" applyNumberFormat="1" applyFont="1" applyFill="1" applyBorder="1" applyAlignment="1">
      <alignment horizontal="right" vertical="center"/>
    </xf>
    <xf numFmtId="9" fontId="10" fillId="7" borderId="23" xfId="0" applyNumberFormat="1" applyFont="1" applyFill="1" applyBorder="1" applyAlignment="1">
      <alignment horizontal="center" vertical="center"/>
    </xf>
    <xf numFmtId="3" fontId="10" fillId="7" borderId="23" xfId="0" applyNumberFormat="1" applyFont="1" applyFill="1" applyBorder="1" applyAlignment="1">
      <alignment horizontal="center" vertical="center"/>
    </xf>
    <xf numFmtId="3" fontId="1" fillId="7" borderId="23" xfId="0" applyNumberFormat="1" applyFont="1" applyFill="1" applyBorder="1" applyAlignment="1">
      <alignment vertical="center"/>
    </xf>
    <xf numFmtId="3" fontId="6" fillId="6" borderId="23" xfId="0" applyNumberFormat="1" applyFont="1" applyFill="1" applyBorder="1" applyAlignment="1">
      <alignment horizontal="center" vertical="center"/>
    </xf>
    <xf numFmtId="9" fontId="5" fillId="2" borderId="23" xfId="0" applyNumberFormat="1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9" fontId="5" fillId="4" borderId="23" xfId="0" applyNumberFormat="1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3" fontId="3" fillId="4" borderId="23" xfId="0" applyNumberFormat="1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3" fontId="2" fillId="5" borderId="23" xfId="0" applyNumberFormat="1" applyFont="1" applyFill="1" applyBorder="1" applyAlignment="1">
      <alignment horizontal="right" vertical="center"/>
    </xf>
    <xf numFmtId="0" fontId="5" fillId="0" borderId="23" xfId="0" applyFont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3" fontId="3" fillId="0" borderId="23" xfId="0" applyNumberFormat="1" applyFont="1" applyBorder="1" applyAlignment="1">
      <alignment vertical="center"/>
    </xf>
    <xf numFmtId="3" fontId="5" fillId="7" borderId="23" xfId="0" applyNumberFormat="1" applyFont="1" applyFill="1" applyBorder="1" applyAlignment="1">
      <alignment horizontal="center" vertical="center"/>
    </xf>
    <xf numFmtId="3" fontId="5" fillId="7" borderId="23" xfId="0" applyNumberFormat="1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3" fontId="12" fillId="9" borderId="23" xfId="0" applyNumberFormat="1" applyFont="1" applyFill="1" applyBorder="1" applyAlignment="1">
      <alignment horizontal="right" vertical="center"/>
    </xf>
    <xf numFmtId="0" fontId="5" fillId="0" borderId="23" xfId="0" applyFont="1" applyBorder="1" applyAlignment="1">
      <alignment vertical="center"/>
    </xf>
    <xf numFmtId="0" fontId="5" fillId="7" borderId="23" xfId="0" applyFont="1" applyFill="1" applyBorder="1" applyAlignment="1">
      <alignment horizontal="center" vertical="center" wrapText="1"/>
    </xf>
    <xf numFmtId="3" fontId="3" fillId="9" borderId="23" xfId="0" applyNumberFormat="1" applyFont="1" applyFill="1" applyBorder="1" applyAlignment="1">
      <alignment horizontal="center" vertical="center"/>
    </xf>
    <xf numFmtId="1" fontId="3" fillId="9" borderId="23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vertical="center"/>
    </xf>
    <xf numFmtId="0" fontId="5" fillId="8" borderId="23" xfId="0" applyFont="1" applyFill="1" applyBorder="1" applyAlignment="1">
      <alignment horizontal="center" vertical="center"/>
    </xf>
    <xf numFmtId="3" fontId="3" fillId="8" borderId="23" xfId="0" applyNumberFormat="1" applyFont="1" applyFill="1" applyBorder="1" applyAlignment="1">
      <alignment vertical="center"/>
    </xf>
    <xf numFmtId="3" fontId="5" fillId="8" borderId="23" xfId="0" applyNumberFormat="1" applyFont="1" applyFill="1" applyBorder="1" applyAlignment="1">
      <alignment horizontal="right" vertical="center"/>
    </xf>
    <xf numFmtId="0" fontId="2" fillId="10" borderId="23" xfId="0" applyFont="1" applyFill="1" applyBorder="1" applyAlignment="1">
      <alignment horizontal="center" vertical="center" wrapText="1"/>
    </xf>
    <xf numFmtId="3" fontId="2" fillId="11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890"/>
  <sheetViews>
    <sheetView tabSelected="1" zoomScale="80" zoomScaleNormal="80" workbookViewId="0">
      <selection activeCell="D8" sqref="D8"/>
    </sheetView>
  </sheetViews>
  <sheetFormatPr defaultColWidth="12.6640625" defaultRowHeight="15" customHeight="1" outlineLevelRow="1" x14ac:dyDescent="0.3"/>
  <cols>
    <col min="1" max="1" width="8.25" customWidth="1"/>
    <col min="2" max="2" width="41.5" customWidth="1"/>
    <col min="3" max="4" width="12.6640625" customWidth="1"/>
    <col min="5" max="5" width="19" customWidth="1"/>
    <col min="6" max="6" width="12.6640625" customWidth="1"/>
    <col min="8" max="8" width="19.4140625" customWidth="1"/>
    <col min="9" max="9" width="17.25" customWidth="1"/>
    <col min="10" max="10" width="12.1640625" customWidth="1"/>
    <col min="12" max="12" width="13.5" customWidth="1"/>
  </cols>
  <sheetData>
    <row r="1" spans="1:25" ht="28" x14ac:dyDescent="0.3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outlineLevel="1" x14ac:dyDescent="0.3">
      <c r="A2" s="13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outlineLevel="1" x14ac:dyDescent="0.3">
      <c r="A3" s="134" t="s">
        <v>2</v>
      </c>
      <c r="B3" s="136"/>
      <c r="C3" s="136"/>
      <c r="D3" s="136"/>
      <c r="E3" s="136"/>
      <c r="F3" s="136"/>
      <c r="G3" s="136"/>
      <c r="H3" s="136"/>
      <c r="I3" s="136"/>
      <c r="J3" s="13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outlineLevel="1" x14ac:dyDescent="0.3">
      <c r="A4" s="137" t="s">
        <v>3</v>
      </c>
      <c r="B4" s="135"/>
      <c r="C4" s="135"/>
      <c r="D4" s="135"/>
      <c r="E4" s="135"/>
      <c r="F4" s="135"/>
      <c r="G4" s="135"/>
      <c r="H4" s="135"/>
      <c r="I4" s="135"/>
      <c r="J4" s="13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outlineLevel="1" x14ac:dyDescent="0.3">
      <c r="A5" s="138" t="s">
        <v>4</v>
      </c>
      <c r="B5" s="138" t="s">
        <v>5</v>
      </c>
      <c r="C5" s="139" t="s">
        <v>6</v>
      </c>
      <c r="D5" s="140" t="s">
        <v>7</v>
      </c>
      <c r="E5" s="140" t="s">
        <v>8</v>
      </c>
      <c r="F5" s="141" t="s">
        <v>9</v>
      </c>
      <c r="G5" s="141" t="s">
        <v>10</v>
      </c>
      <c r="H5" s="141" t="s">
        <v>11</v>
      </c>
      <c r="I5" s="142" t="s">
        <v>12</v>
      </c>
      <c r="J5" s="141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outlineLevel="1" x14ac:dyDescent="0.3">
      <c r="A6" s="143"/>
      <c r="B6" s="144" t="s">
        <v>14</v>
      </c>
      <c r="C6" s="145">
        <f t="shared" ref="C6:D6" si="0">C7+C14+C18</f>
        <v>1</v>
      </c>
      <c r="D6" s="146">
        <f t="shared" si="0"/>
        <v>100000</v>
      </c>
      <c r="E6" s="147"/>
      <c r="F6" s="147"/>
      <c r="G6" s="143"/>
      <c r="H6" s="147"/>
      <c r="I6" s="148"/>
      <c r="J6" s="149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outlineLevel="1" x14ac:dyDescent="0.3">
      <c r="A7" s="150">
        <v>1</v>
      </c>
      <c r="B7" s="151" t="s">
        <v>15</v>
      </c>
      <c r="C7" s="152">
        <v>0.55000000000000004</v>
      </c>
      <c r="D7" s="153">
        <v>55000</v>
      </c>
      <c r="E7" s="154"/>
      <c r="F7" s="155"/>
      <c r="G7" s="156"/>
      <c r="H7" s="155"/>
      <c r="I7" s="148"/>
      <c r="J7" s="149"/>
      <c r="K7" s="2"/>
      <c r="L7" s="2"/>
      <c r="M7" s="2"/>
      <c r="N7" s="2"/>
      <c r="O7" s="2"/>
      <c r="P7" s="2"/>
      <c r="Q7" s="2">
        <f>O7*3</f>
        <v>0</v>
      </c>
      <c r="R7" s="2"/>
      <c r="S7" s="2"/>
      <c r="T7" s="2"/>
      <c r="U7" s="2"/>
      <c r="V7" s="2"/>
      <c r="W7" s="2"/>
      <c r="X7" s="2"/>
      <c r="Y7" s="2"/>
    </row>
    <row r="8" spans="1:25" ht="15.75" customHeight="1" outlineLevel="1" x14ac:dyDescent="0.3">
      <c r="A8" s="157"/>
      <c r="B8" s="158" t="s">
        <v>16</v>
      </c>
      <c r="C8" s="159">
        <v>0.1</v>
      </c>
      <c r="D8" s="160">
        <v>100</v>
      </c>
      <c r="E8" s="161" t="s">
        <v>17</v>
      </c>
      <c r="F8" s="162">
        <f>$D$8/G8</f>
        <v>142.85714285714286</v>
      </c>
      <c r="G8" s="163">
        <v>0.7</v>
      </c>
      <c r="H8" s="164" t="s">
        <v>18</v>
      </c>
      <c r="I8" s="165">
        <v>1.79</v>
      </c>
      <c r="J8" s="166">
        <f t="shared" ref="J8:J9" si="1">(G8/I8)*D8</f>
        <v>39.106145251396647</v>
      </c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outlineLevel="1" x14ac:dyDescent="0.3">
      <c r="A9" s="157"/>
      <c r="B9" s="158" t="s">
        <v>19</v>
      </c>
      <c r="C9" s="159">
        <v>0.2</v>
      </c>
      <c r="D9" s="160"/>
      <c r="E9" s="161" t="s">
        <v>20</v>
      </c>
      <c r="F9" s="162">
        <f>$D$9/G9</f>
        <v>0</v>
      </c>
      <c r="G9" s="141">
        <v>25000</v>
      </c>
      <c r="H9" s="161" t="s">
        <v>20</v>
      </c>
      <c r="I9" s="167">
        <v>41728</v>
      </c>
      <c r="J9" s="166">
        <f t="shared" si="1"/>
        <v>0</v>
      </c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outlineLevel="1" x14ac:dyDescent="0.3">
      <c r="A10" s="157"/>
      <c r="B10" s="168" t="s">
        <v>21</v>
      </c>
      <c r="C10" s="169">
        <v>0.3</v>
      </c>
      <c r="D10" s="170"/>
      <c r="E10" s="171" t="s">
        <v>21</v>
      </c>
      <c r="F10" s="162">
        <f>$D$10/G10</f>
        <v>0</v>
      </c>
      <c r="G10" s="141">
        <v>1000</v>
      </c>
      <c r="H10" s="164" t="s">
        <v>21</v>
      </c>
      <c r="I10" s="167">
        <v>40</v>
      </c>
      <c r="J10" s="166">
        <f t="shared" ref="J10:J11" si="2">I10*F10</f>
        <v>0</v>
      </c>
      <c r="K10" s="2"/>
      <c r="L10" s="2"/>
      <c r="M10" s="2"/>
      <c r="N10" s="2"/>
      <c r="O10" s="2"/>
      <c r="P10" s="2"/>
      <c r="Q10" s="2">
        <f>O10*3</f>
        <v>0</v>
      </c>
      <c r="R10" s="2"/>
      <c r="S10" s="2"/>
      <c r="T10" s="2"/>
      <c r="U10" s="2"/>
      <c r="V10" s="2"/>
      <c r="W10" s="2"/>
      <c r="X10" s="2"/>
      <c r="Y10" s="2"/>
    </row>
    <row r="11" spans="1:25" ht="15.75" customHeight="1" outlineLevel="1" x14ac:dyDescent="0.3">
      <c r="A11" s="157"/>
      <c r="B11" s="168" t="s">
        <v>22</v>
      </c>
      <c r="C11" s="169">
        <v>0.25</v>
      </c>
      <c r="D11" s="170"/>
      <c r="E11" s="171" t="s">
        <v>23</v>
      </c>
      <c r="F11" s="162">
        <f>$D$11/G11</f>
        <v>0</v>
      </c>
      <c r="G11" s="141">
        <v>5000000</v>
      </c>
      <c r="H11" s="171" t="s">
        <v>23</v>
      </c>
      <c r="I11" s="167">
        <v>311533</v>
      </c>
      <c r="J11" s="166">
        <f t="shared" si="2"/>
        <v>0</v>
      </c>
      <c r="K11" s="2"/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outlineLevel="1" x14ac:dyDescent="0.3">
      <c r="A12" s="157"/>
      <c r="B12" s="158" t="s">
        <v>24</v>
      </c>
      <c r="C12" s="159">
        <v>0.15</v>
      </c>
      <c r="D12" s="160"/>
      <c r="E12" s="172" t="s">
        <v>25</v>
      </c>
      <c r="F12" s="162">
        <f>$D$12/G12</f>
        <v>0</v>
      </c>
      <c r="G12" s="141">
        <v>10000</v>
      </c>
      <c r="H12" s="164" t="s">
        <v>25</v>
      </c>
      <c r="I12" s="167">
        <v>20772</v>
      </c>
      <c r="J12" s="166">
        <f>(G12/I12)*D12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outlineLevel="1" x14ac:dyDescent="0.3">
      <c r="A13" s="173"/>
      <c r="B13" s="174" t="s">
        <v>26</v>
      </c>
      <c r="C13" s="175">
        <f t="shared" ref="C13:D13" si="3">SUM(C8:C12)</f>
        <v>1</v>
      </c>
      <c r="D13" s="176">
        <f t="shared" si="3"/>
        <v>100</v>
      </c>
      <c r="E13" s="177"/>
      <c r="F13" s="177"/>
      <c r="G13" s="177"/>
      <c r="H13" s="177"/>
      <c r="I13" s="148"/>
      <c r="J13" s="14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outlineLevel="1" x14ac:dyDescent="0.3">
      <c r="A14" s="178">
        <v>2</v>
      </c>
      <c r="B14" s="151" t="s">
        <v>27</v>
      </c>
      <c r="C14" s="152">
        <v>0.3</v>
      </c>
      <c r="D14" s="153">
        <v>30000</v>
      </c>
      <c r="E14" s="156"/>
      <c r="F14" s="156"/>
      <c r="G14" s="156"/>
      <c r="H14" s="156"/>
      <c r="I14" s="148"/>
      <c r="J14" s="149"/>
      <c r="K14" s="2"/>
      <c r="L14" s="2"/>
      <c r="M14" s="2"/>
      <c r="N14" s="2"/>
      <c r="O14" s="2"/>
      <c r="P14" s="2"/>
      <c r="Q14" s="2"/>
      <c r="R14" s="2"/>
      <c r="S14" s="2">
        <f>279*2</f>
        <v>558</v>
      </c>
      <c r="T14" s="2"/>
      <c r="U14" s="2"/>
      <c r="V14" s="2"/>
      <c r="W14" s="2"/>
      <c r="X14" s="2"/>
      <c r="Y14" s="2"/>
    </row>
    <row r="15" spans="1:25" ht="15.75" customHeight="1" outlineLevel="1" x14ac:dyDescent="0.3">
      <c r="A15" s="157"/>
      <c r="B15" s="158" t="s">
        <v>16</v>
      </c>
      <c r="C15" s="159">
        <v>0.5</v>
      </c>
      <c r="D15" s="160"/>
      <c r="E15" s="161" t="s">
        <v>17</v>
      </c>
      <c r="F15" s="141">
        <f t="shared" ref="F15:F16" si="4">D15/G15</f>
        <v>0</v>
      </c>
      <c r="G15" s="179">
        <v>0.2</v>
      </c>
      <c r="H15" s="164" t="s">
        <v>18</v>
      </c>
      <c r="I15" s="165">
        <v>0.38</v>
      </c>
      <c r="J15" s="166">
        <f>(G15/I15)*D15</f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outlineLevel="1" x14ac:dyDescent="0.3">
      <c r="A16" s="157"/>
      <c r="B16" s="158" t="s">
        <v>28</v>
      </c>
      <c r="C16" s="159">
        <v>0.5</v>
      </c>
      <c r="D16" s="160"/>
      <c r="E16" s="164" t="s">
        <v>21</v>
      </c>
      <c r="F16" s="141">
        <f t="shared" si="4"/>
        <v>0</v>
      </c>
      <c r="G16" s="141">
        <v>1000</v>
      </c>
      <c r="H16" s="164" t="s">
        <v>21</v>
      </c>
      <c r="I16" s="180">
        <v>37</v>
      </c>
      <c r="J16" s="166">
        <f>I16*F16</f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outlineLevel="1" x14ac:dyDescent="0.3">
      <c r="A17" s="173"/>
      <c r="B17" s="174" t="s">
        <v>26</v>
      </c>
      <c r="C17" s="175">
        <f t="shared" ref="C17:D17" si="5">SUM(C15:C16)</f>
        <v>1</v>
      </c>
      <c r="D17" s="176">
        <f t="shared" si="5"/>
        <v>0</v>
      </c>
      <c r="E17" s="181"/>
      <c r="F17" s="181"/>
      <c r="G17" s="181"/>
      <c r="H17" s="181"/>
      <c r="I17" s="148"/>
      <c r="J17" s="14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outlineLevel="1" x14ac:dyDescent="0.3">
      <c r="A18" s="178">
        <v>4</v>
      </c>
      <c r="B18" s="151" t="s">
        <v>29</v>
      </c>
      <c r="C18" s="152">
        <v>0.15</v>
      </c>
      <c r="D18" s="153">
        <v>15000</v>
      </c>
      <c r="E18" s="156"/>
      <c r="F18" s="156"/>
      <c r="G18" s="156"/>
      <c r="H18" s="156"/>
      <c r="I18" s="148"/>
      <c r="J18" s="14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outlineLevel="1" x14ac:dyDescent="0.3">
      <c r="A19" s="157"/>
      <c r="B19" s="158" t="s">
        <v>30</v>
      </c>
      <c r="C19" s="159">
        <v>0.2</v>
      </c>
      <c r="D19" s="160"/>
      <c r="E19" s="161" t="s">
        <v>31</v>
      </c>
      <c r="F19" s="141">
        <f t="shared" ref="F19:F20" si="6">D19/G19</f>
        <v>0</v>
      </c>
      <c r="G19" s="164">
        <v>20</v>
      </c>
      <c r="H19" s="164" t="s">
        <v>32</v>
      </c>
      <c r="I19" s="180">
        <v>0</v>
      </c>
      <c r="J19" s="166">
        <f t="shared" ref="J19:J20" si="7">I19*F19</f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outlineLevel="1" x14ac:dyDescent="0.3">
      <c r="A20" s="157"/>
      <c r="B20" s="158" t="s">
        <v>33</v>
      </c>
      <c r="C20" s="159">
        <v>0.8</v>
      </c>
      <c r="D20" s="160"/>
      <c r="E20" s="161" t="s">
        <v>34</v>
      </c>
      <c r="F20" s="141">
        <f t="shared" si="6"/>
        <v>0</v>
      </c>
      <c r="G20" s="164">
        <v>60</v>
      </c>
      <c r="H20" s="164" t="s">
        <v>35</v>
      </c>
      <c r="I20" s="180">
        <v>12</v>
      </c>
      <c r="J20" s="166">
        <f t="shared" si="7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outlineLevel="1" x14ac:dyDescent="0.3">
      <c r="A21" s="173"/>
      <c r="B21" s="174" t="s">
        <v>26</v>
      </c>
      <c r="C21" s="175">
        <f t="shared" ref="C21:D21" si="8">SUM(C19:C20)</f>
        <v>1</v>
      </c>
      <c r="D21" s="176">
        <f t="shared" si="8"/>
        <v>0</v>
      </c>
      <c r="E21" s="181"/>
      <c r="F21" s="181"/>
      <c r="G21" s="181"/>
      <c r="H21" s="181"/>
      <c r="I21" s="148"/>
      <c r="J21" s="14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outlineLevel="1" x14ac:dyDescent="0.3">
      <c r="A22" s="182"/>
      <c r="B22" s="144" t="s">
        <v>36</v>
      </c>
      <c r="C22" s="183">
        <f t="shared" ref="C22:D22" si="9">C7+C14+C18</f>
        <v>1</v>
      </c>
      <c r="D22" s="184">
        <f t="shared" si="9"/>
        <v>100000</v>
      </c>
      <c r="E22" s="185"/>
      <c r="F22" s="185"/>
      <c r="G22" s="186"/>
      <c r="H22" s="185"/>
      <c r="I22" s="187"/>
      <c r="J22" s="188">
        <f>SUM(J8:J21)</f>
        <v>39.106145251396647</v>
      </c>
      <c r="K22" s="1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outlineLevel="1" x14ac:dyDescent="0.3">
      <c r="A23" s="189"/>
      <c r="B23" s="190" t="s">
        <v>37</v>
      </c>
      <c r="C23" s="191" t="s">
        <v>38</v>
      </c>
      <c r="D23" s="135"/>
      <c r="E23" s="135"/>
      <c r="F23" s="135"/>
      <c r="G23" s="135"/>
      <c r="H23" s="135"/>
      <c r="I23" s="135"/>
      <c r="J23" s="19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outlineLevel="1" x14ac:dyDescent="0.3">
      <c r="A24" s="138">
        <v>1</v>
      </c>
      <c r="B24" s="193" t="s">
        <v>39</v>
      </c>
      <c r="C24" s="172">
        <v>-5000</v>
      </c>
      <c r="D24" s="194"/>
      <c r="E24" s="194"/>
      <c r="F24" s="195">
        <v>-5000</v>
      </c>
      <c r="G24" s="196">
        <v>0</v>
      </c>
      <c r="H24" s="197" t="s">
        <v>40</v>
      </c>
      <c r="I24" s="198">
        <v>0</v>
      </c>
      <c r="J24" s="199">
        <f t="shared" ref="J24:J27" si="10">IF(I24&lt;=5,I24*F24,-20000)</f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outlineLevel="1" x14ac:dyDescent="0.3">
      <c r="A25" s="138">
        <v>2</v>
      </c>
      <c r="B25" s="200" t="s">
        <v>41</v>
      </c>
      <c r="C25" s="172">
        <v>-1500</v>
      </c>
      <c r="D25" s="194"/>
      <c r="E25" s="194"/>
      <c r="F25" s="195">
        <v>-1500</v>
      </c>
      <c r="G25" s="201">
        <v>0</v>
      </c>
      <c r="H25" s="197" t="s">
        <v>40</v>
      </c>
      <c r="I25" s="202">
        <v>0</v>
      </c>
      <c r="J25" s="199">
        <f t="shared" si="10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outlineLevel="1" x14ac:dyDescent="0.3">
      <c r="A26" s="138">
        <v>3</v>
      </c>
      <c r="B26" s="200" t="s">
        <v>42</v>
      </c>
      <c r="C26" s="172">
        <v>-1500</v>
      </c>
      <c r="D26" s="182"/>
      <c r="E26" s="194"/>
      <c r="F26" s="195">
        <v>-1500</v>
      </c>
      <c r="G26" s="195">
        <v>0</v>
      </c>
      <c r="H26" s="197" t="s">
        <v>40</v>
      </c>
      <c r="I26" s="203">
        <v>0</v>
      </c>
      <c r="J26" s="199">
        <f t="shared" si="10"/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outlineLevel="1" x14ac:dyDescent="0.3">
      <c r="A27" s="138">
        <v>4</v>
      </c>
      <c r="B27" s="200" t="s">
        <v>43</v>
      </c>
      <c r="C27" s="172">
        <v>-2000</v>
      </c>
      <c r="D27" s="182"/>
      <c r="E27" s="194"/>
      <c r="F27" s="195">
        <v>-2000</v>
      </c>
      <c r="G27" s="195">
        <v>0</v>
      </c>
      <c r="H27" s="197" t="s">
        <v>40</v>
      </c>
      <c r="I27" s="203">
        <v>0</v>
      </c>
      <c r="J27" s="199">
        <f t="shared" si="10"/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outlineLevel="1" x14ac:dyDescent="0.3">
      <c r="A28" s="204"/>
      <c r="B28" s="205" t="s">
        <v>36</v>
      </c>
      <c r="C28" s="206"/>
      <c r="D28" s="206"/>
      <c r="E28" s="206"/>
      <c r="F28" s="206"/>
      <c r="G28" s="206"/>
      <c r="H28" s="204"/>
      <c r="I28" s="204"/>
      <c r="J28" s="207">
        <f>SUM(J24:J27)</f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outlineLevel="1" x14ac:dyDescent="0.3">
      <c r="A29" s="182"/>
      <c r="B29" s="182"/>
      <c r="C29" s="182"/>
      <c r="D29" s="182"/>
      <c r="E29" s="182"/>
      <c r="F29" s="182"/>
      <c r="G29" s="182"/>
      <c r="H29" s="182"/>
      <c r="I29" s="208" t="s">
        <v>44</v>
      </c>
      <c r="J29" s="209">
        <f>J22+J28</f>
        <v>39.106145251396647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</row>
  </sheetData>
  <mergeCells count="5">
    <mergeCell ref="A1:J1"/>
    <mergeCell ref="A2:J2"/>
    <mergeCell ref="A3:J3"/>
    <mergeCell ref="A4:J4"/>
    <mergeCell ref="C23:I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73763"/>
    <outlinePr summaryBelow="0" summaryRight="0"/>
  </sheetPr>
  <dimension ref="A1:Z1000"/>
  <sheetViews>
    <sheetView topLeftCell="A242" workbookViewId="0"/>
  </sheetViews>
  <sheetFormatPr defaultColWidth="12.6640625" defaultRowHeight="15" customHeight="1" x14ac:dyDescent="0.3"/>
  <cols>
    <col min="1" max="1" width="9.75" customWidth="1"/>
    <col min="2" max="2" width="42.9140625" customWidth="1"/>
    <col min="3" max="3" width="26.9140625" customWidth="1"/>
    <col min="4" max="10" width="14.4140625" customWidth="1"/>
  </cols>
  <sheetData>
    <row r="1" spans="1:26" ht="15.75" hidden="1" customHeight="1" x14ac:dyDescent="0.5">
      <c r="A1" s="115" t="s">
        <v>50</v>
      </c>
      <c r="B1" s="101"/>
      <c r="C1" s="9"/>
      <c r="D1" s="10"/>
      <c r="E1" s="10"/>
      <c r="F1" s="10"/>
      <c r="G1" s="10"/>
      <c r="H1" s="10"/>
      <c r="I1" s="119">
        <v>44348</v>
      </c>
      <c r="J1" s="114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hidden="1" customHeight="1" x14ac:dyDescent="0.5">
      <c r="A2" s="8" t="s">
        <v>51</v>
      </c>
      <c r="B2" s="8"/>
      <c r="C2" s="8"/>
      <c r="D2" s="10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hidden="1" customHeight="1" x14ac:dyDescent="0.45">
      <c r="A3" s="10"/>
      <c r="B3" s="10"/>
      <c r="C3" s="10"/>
      <c r="D3" s="10"/>
      <c r="E3" s="10"/>
      <c r="F3" s="10"/>
      <c r="G3" s="10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hidden="1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hidden="1" customHeight="1" x14ac:dyDescent="0.55000000000000004">
      <c r="A5" s="10"/>
      <c r="B5" s="12" t="s">
        <v>52</v>
      </c>
      <c r="C5" s="10"/>
      <c r="D5" s="10"/>
      <c r="E5" s="10"/>
      <c r="F5" s="10"/>
      <c r="G5" s="10"/>
      <c r="H5" s="10"/>
      <c r="I5" s="10"/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hidden="1" customHeight="1" x14ac:dyDescent="0.3">
      <c r="A6" s="13" t="s">
        <v>4</v>
      </c>
      <c r="B6" s="13" t="s">
        <v>5</v>
      </c>
      <c r="C6" s="13" t="s">
        <v>6</v>
      </c>
      <c r="D6" s="13" t="s">
        <v>7</v>
      </c>
      <c r="E6" s="14" t="s">
        <v>9</v>
      </c>
      <c r="F6" s="14" t="s">
        <v>47</v>
      </c>
      <c r="G6" s="14" t="s">
        <v>11</v>
      </c>
      <c r="H6" s="15" t="s">
        <v>48</v>
      </c>
      <c r="I6" s="15" t="s">
        <v>11</v>
      </c>
      <c r="J6" s="15" t="s">
        <v>49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hidden="1" customHeight="1" x14ac:dyDescent="0.45">
      <c r="A7" s="17"/>
      <c r="B7" s="18"/>
      <c r="C7" s="19"/>
      <c r="D7" s="19"/>
      <c r="E7" s="20"/>
      <c r="F7" s="20"/>
      <c r="G7" s="20"/>
      <c r="H7" s="21"/>
      <c r="I7" s="21"/>
      <c r="J7" s="2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hidden="1" customHeight="1" x14ac:dyDescent="0.45">
      <c r="A8" s="23"/>
      <c r="B8" s="23" t="s">
        <v>53</v>
      </c>
      <c r="C8" s="20"/>
      <c r="D8" s="19"/>
      <c r="E8" s="20"/>
      <c r="F8" s="20"/>
      <c r="G8" s="20"/>
      <c r="H8" s="21"/>
      <c r="I8" s="21"/>
      <c r="J8" s="22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hidden="1" customHeight="1" x14ac:dyDescent="0.45">
      <c r="A9" s="17">
        <v>1</v>
      </c>
      <c r="B9" s="18" t="s">
        <v>54</v>
      </c>
      <c r="C9" s="24">
        <v>2.5000000000000001E-2</v>
      </c>
      <c r="D9" s="17">
        <v>2500</v>
      </c>
      <c r="E9" s="23">
        <v>96</v>
      </c>
      <c r="F9" s="23">
        <v>0</v>
      </c>
      <c r="G9" s="23" t="s">
        <v>55</v>
      </c>
      <c r="H9" s="21"/>
      <c r="I9" s="21" t="s">
        <v>55</v>
      </c>
      <c r="J9" s="25">
        <v>2500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hidden="1" customHeight="1" x14ac:dyDescent="0.45">
      <c r="A10" s="17">
        <v>2</v>
      </c>
      <c r="B10" s="18" t="s">
        <v>56</v>
      </c>
      <c r="C10" s="24">
        <v>2.5000000000000001E-2</v>
      </c>
      <c r="D10" s="17">
        <v>2500</v>
      </c>
      <c r="E10" s="23">
        <v>96</v>
      </c>
      <c r="F10" s="23">
        <v>0</v>
      </c>
      <c r="G10" s="23" t="s">
        <v>57</v>
      </c>
      <c r="H10" s="21"/>
      <c r="I10" s="21" t="s">
        <v>57</v>
      </c>
      <c r="J10" s="25">
        <v>2500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hidden="1" customHeight="1" x14ac:dyDescent="0.45">
      <c r="A11" s="17"/>
      <c r="B11" s="26">
        <v>0.05</v>
      </c>
      <c r="C11" s="17"/>
      <c r="D11" s="19"/>
      <c r="E11" s="23"/>
      <c r="F11" s="23"/>
      <c r="G11" s="23"/>
      <c r="H11" s="21"/>
      <c r="I11" s="21"/>
      <c r="J11" s="2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hidden="1" customHeight="1" x14ac:dyDescent="0.45">
      <c r="A12" s="23"/>
      <c r="B12" s="23" t="s">
        <v>14</v>
      </c>
      <c r="C12" s="20"/>
      <c r="D12" s="20"/>
      <c r="E12" s="20"/>
      <c r="F12" s="20"/>
      <c r="G12" s="20"/>
      <c r="H12" s="21"/>
      <c r="I12" s="21"/>
      <c r="J12" s="2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hidden="1" customHeight="1" x14ac:dyDescent="0.45">
      <c r="A13" s="17">
        <v>1</v>
      </c>
      <c r="B13" s="27" t="s">
        <v>58</v>
      </c>
      <c r="C13" s="24">
        <v>0.15</v>
      </c>
      <c r="D13" s="17">
        <v>15000</v>
      </c>
      <c r="E13" s="23"/>
      <c r="F13" s="23"/>
      <c r="G13" s="23"/>
      <c r="H13" s="21"/>
      <c r="I13" s="21"/>
      <c r="J13" s="2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hidden="1" customHeight="1" x14ac:dyDescent="0.45">
      <c r="A14" s="17"/>
      <c r="B14" s="28" t="s">
        <v>59</v>
      </c>
      <c r="C14" s="28"/>
      <c r="D14" s="17"/>
      <c r="E14" s="23">
        <v>12</v>
      </c>
      <c r="F14" s="23">
        <v>500</v>
      </c>
      <c r="G14" s="23" t="s">
        <v>45</v>
      </c>
      <c r="H14" s="21" t="str">
        <f ca="1">IFERROR(__xludf.DUMMYFUNCTION("IMPORTRANGE(""https://docs.google.com/spreadsheets/d/1hwN0dIusdEsUaqLhXW3aqqlGn-ck59RgHq1jH9G8a2E/edit"",""ADV GILANG!L66"")"),"#REF!")</f>
        <v>#REF!</v>
      </c>
      <c r="I14" s="21" t="s">
        <v>45</v>
      </c>
      <c r="J14" s="29" t="e">
        <f t="shared" ref="J14:J20" ca="1" si="0">H14*E14</f>
        <v>#VALUE!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hidden="1" customHeight="1" x14ac:dyDescent="0.45">
      <c r="A15" s="17"/>
      <c r="B15" s="28" t="s">
        <v>60</v>
      </c>
      <c r="C15" s="28"/>
      <c r="D15" s="17"/>
      <c r="E15" s="23">
        <v>20</v>
      </c>
      <c r="F15" s="23">
        <v>500</v>
      </c>
      <c r="G15" s="23" t="s">
        <v>45</v>
      </c>
      <c r="H15" s="21"/>
      <c r="I15" s="21" t="s">
        <v>45</v>
      </c>
      <c r="J15" s="29">
        <f t="shared" si="0"/>
        <v>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hidden="1" customHeight="1" x14ac:dyDescent="0.45">
      <c r="A16" s="17"/>
      <c r="B16" s="28" t="s">
        <v>61</v>
      </c>
      <c r="C16" s="28"/>
      <c r="D16" s="17"/>
      <c r="E16" s="23">
        <v>21</v>
      </c>
      <c r="F16" s="23">
        <v>500</v>
      </c>
      <c r="G16" s="23" t="s">
        <v>45</v>
      </c>
      <c r="H16" s="21"/>
      <c r="I16" s="21" t="s">
        <v>45</v>
      </c>
      <c r="J16" s="29">
        <f t="shared" si="0"/>
        <v>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hidden="1" customHeight="1" x14ac:dyDescent="0.45">
      <c r="A17" s="17"/>
      <c r="B17" s="28" t="s">
        <v>62</v>
      </c>
      <c r="C17" s="28"/>
      <c r="D17" s="17"/>
      <c r="E17" s="23">
        <v>10</v>
      </c>
      <c r="F17" s="23">
        <v>500</v>
      </c>
      <c r="G17" s="23" t="s">
        <v>45</v>
      </c>
      <c r="H17" s="21"/>
      <c r="I17" s="21" t="s">
        <v>45</v>
      </c>
      <c r="J17" s="29">
        <f t="shared" si="0"/>
        <v>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hidden="1" customHeight="1" x14ac:dyDescent="0.45">
      <c r="A18" s="17"/>
      <c r="B18" s="28" t="s">
        <v>63</v>
      </c>
      <c r="C18" s="28"/>
      <c r="D18" s="17"/>
      <c r="E18" s="23">
        <v>24</v>
      </c>
      <c r="F18" s="23">
        <v>1000</v>
      </c>
      <c r="G18" s="23" t="s">
        <v>45</v>
      </c>
      <c r="H18" s="21"/>
      <c r="I18" s="21" t="s">
        <v>45</v>
      </c>
      <c r="J18" s="29">
        <f t="shared" si="0"/>
        <v>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hidden="1" customHeight="1" x14ac:dyDescent="0.45">
      <c r="A19" s="17"/>
      <c r="B19" s="28" t="s">
        <v>64</v>
      </c>
      <c r="C19" s="28"/>
      <c r="D19" s="17"/>
      <c r="E19" s="23">
        <v>10</v>
      </c>
      <c r="F19" s="23">
        <v>500</v>
      </c>
      <c r="G19" s="23" t="s">
        <v>45</v>
      </c>
      <c r="H19" s="21"/>
      <c r="I19" s="21" t="s">
        <v>45</v>
      </c>
      <c r="J19" s="29">
        <f t="shared" si="0"/>
        <v>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hidden="1" customHeight="1" x14ac:dyDescent="0.45">
      <c r="A20" s="17"/>
      <c r="B20" s="28" t="s">
        <v>65</v>
      </c>
      <c r="C20" s="28"/>
      <c r="D20" s="17"/>
      <c r="E20" s="23">
        <v>20</v>
      </c>
      <c r="F20" s="23">
        <v>500</v>
      </c>
      <c r="G20" s="23" t="s">
        <v>45</v>
      </c>
      <c r="H20" s="21"/>
      <c r="I20" s="21" t="s">
        <v>45</v>
      </c>
      <c r="J20" s="29">
        <f t="shared" si="0"/>
        <v>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hidden="1" customHeight="1" x14ac:dyDescent="0.45">
      <c r="A21" s="30"/>
      <c r="B21" s="31"/>
      <c r="C21" s="31"/>
      <c r="D21" s="30"/>
      <c r="E21" s="30"/>
      <c r="F21" s="30"/>
      <c r="G21" s="30"/>
      <c r="H21" s="32"/>
      <c r="I21" s="32"/>
      <c r="J21" s="3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hidden="1" customHeight="1" x14ac:dyDescent="0.45">
      <c r="A22" s="17"/>
      <c r="B22" s="28" t="s">
        <v>66</v>
      </c>
      <c r="C22" s="28"/>
      <c r="D22" s="19"/>
      <c r="E22" s="23">
        <v>6</v>
      </c>
      <c r="F22" s="23">
        <v>5000</v>
      </c>
      <c r="G22" s="23" t="s">
        <v>45</v>
      </c>
      <c r="H22" s="21"/>
      <c r="I22" s="21" t="s">
        <v>45</v>
      </c>
      <c r="J22" s="29">
        <f t="shared" ref="J22:J35" si="1">H22*E22</f>
        <v>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hidden="1" customHeight="1" x14ac:dyDescent="0.45">
      <c r="A23" s="17"/>
      <c r="B23" s="28" t="s">
        <v>67</v>
      </c>
      <c r="C23" s="28"/>
      <c r="D23" s="19"/>
      <c r="E23" s="23">
        <v>10</v>
      </c>
      <c r="F23" s="23">
        <v>2500</v>
      </c>
      <c r="G23" s="23" t="s">
        <v>45</v>
      </c>
      <c r="H23" s="21"/>
      <c r="I23" s="21" t="s">
        <v>45</v>
      </c>
      <c r="J23" s="29">
        <f t="shared" si="1"/>
        <v>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hidden="1" customHeight="1" x14ac:dyDescent="0.45">
      <c r="A24" s="17"/>
      <c r="B24" s="28" t="s">
        <v>68</v>
      </c>
      <c r="C24" s="28"/>
      <c r="D24" s="19"/>
      <c r="E24" s="23">
        <v>25</v>
      </c>
      <c r="F24" s="23">
        <v>1000</v>
      </c>
      <c r="G24" s="23" t="s">
        <v>45</v>
      </c>
      <c r="H24" s="21"/>
      <c r="I24" s="21" t="s">
        <v>45</v>
      </c>
      <c r="J24" s="29">
        <f t="shared" si="1"/>
        <v>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hidden="1" customHeight="1" x14ac:dyDescent="0.45">
      <c r="A25" s="17"/>
      <c r="B25" s="28" t="s">
        <v>69</v>
      </c>
      <c r="C25" s="28"/>
      <c r="D25" s="19"/>
      <c r="E25" s="23">
        <v>6</v>
      </c>
      <c r="F25" s="23">
        <v>5000</v>
      </c>
      <c r="G25" s="23" t="s">
        <v>45</v>
      </c>
      <c r="H25" s="21"/>
      <c r="I25" s="21" t="s">
        <v>45</v>
      </c>
      <c r="J25" s="29">
        <f t="shared" si="1"/>
        <v>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hidden="1" customHeight="1" x14ac:dyDescent="0.45">
      <c r="A26" s="17"/>
      <c r="B26" s="28" t="s">
        <v>70</v>
      </c>
      <c r="C26" s="28"/>
      <c r="D26" s="19"/>
      <c r="E26" s="23">
        <v>10</v>
      </c>
      <c r="F26" s="23">
        <v>2500</v>
      </c>
      <c r="G26" s="23" t="s">
        <v>45</v>
      </c>
      <c r="H26" s="21"/>
      <c r="I26" s="21" t="s">
        <v>45</v>
      </c>
      <c r="J26" s="29">
        <f t="shared" si="1"/>
        <v>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hidden="1" customHeight="1" x14ac:dyDescent="0.45">
      <c r="A27" s="17"/>
      <c r="B27" s="28" t="s">
        <v>71</v>
      </c>
      <c r="C27" s="28"/>
      <c r="D27" s="19"/>
      <c r="E27" s="23">
        <v>10</v>
      </c>
      <c r="F27" s="23">
        <v>2500</v>
      </c>
      <c r="G27" s="23" t="s">
        <v>45</v>
      </c>
      <c r="H27" s="21"/>
      <c r="I27" s="21" t="s">
        <v>45</v>
      </c>
      <c r="J27" s="29">
        <f t="shared" si="1"/>
        <v>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hidden="1" customHeight="1" x14ac:dyDescent="0.45">
      <c r="A28" s="17"/>
      <c r="B28" s="28" t="s">
        <v>72</v>
      </c>
      <c r="C28" s="28"/>
      <c r="D28" s="19"/>
      <c r="E28" s="23">
        <v>6</v>
      </c>
      <c r="F28" s="23">
        <v>5000</v>
      </c>
      <c r="G28" s="23" t="s">
        <v>45</v>
      </c>
      <c r="H28" s="21"/>
      <c r="I28" s="21" t="s">
        <v>45</v>
      </c>
      <c r="J28" s="29">
        <f t="shared" si="1"/>
        <v>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hidden="1" customHeight="1" x14ac:dyDescent="0.45">
      <c r="A29" s="17"/>
      <c r="B29" s="28" t="s">
        <v>73</v>
      </c>
      <c r="C29" s="28"/>
      <c r="D29" s="19"/>
      <c r="E29" s="23">
        <v>20</v>
      </c>
      <c r="F29" s="23">
        <v>1200</v>
      </c>
      <c r="G29" s="23" t="s">
        <v>45</v>
      </c>
      <c r="H29" s="21"/>
      <c r="I29" s="21" t="s">
        <v>45</v>
      </c>
      <c r="J29" s="29">
        <f t="shared" si="1"/>
        <v>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hidden="1" customHeight="1" x14ac:dyDescent="0.45">
      <c r="A30" s="17"/>
      <c r="B30" s="28" t="s">
        <v>74</v>
      </c>
      <c r="C30" s="28"/>
      <c r="D30" s="19"/>
      <c r="E30" s="23">
        <v>6</v>
      </c>
      <c r="F30" s="23">
        <v>5000</v>
      </c>
      <c r="G30" s="23" t="s">
        <v>45</v>
      </c>
      <c r="H30" s="21"/>
      <c r="I30" s="21" t="s">
        <v>45</v>
      </c>
      <c r="J30" s="29">
        <f t="shared" si="1"/>
        <v>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hidden="1" customHeight="1" x14ac:dyDescent="0.45">
      <c r="A31" s="17"/>
      <c r="B31" s="28" t="s">
        <v>75</v>
      </c>
      <c r="C31" s="28"/>
      <c r="D31" s="19"/>
      <c r="E31" s="23">
        <v>12</v>
      </c>
      <c r="F31" s="23">
        <v>2000</v>
      </c>
      <c r="G31" s="23" t="s">
        <v>45</v>
      </c>
      <c r="H31" s="21"/>
      <c r="I31" s="21" t="s">
        <v>45</v>
      </c>
      <c r="J31" s="29">
        <f t="shared" si="1"/>
        <v>0</v>
      </c>
      <c r="K31" s="11"/>
      <c r="L31" s="11">
        <f ca="1">H36+131</f>
        <v>131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hidden="1" customHeight="1" x14ac:dyDescent="0.45">
      <c r="A32" s="17"/>
      <c r="B32" s="28" t="s">
        <v>76</v>
      </c>
      <c r="C32" s="28"/>
      <c r="D32" s="19"/>
      <c r="E32" s="23">
        <v>5</v>
      </c>
      <c r="F32" s="23">
        <v>7000</v>
      </c>
      <c r="G32" s="23" t="s">
        <v>45</v>
      </c>
      <c r="H32" s="21"/>
      <c r="I32" s="21" t="s">
        <v>45</v>
      </c>
      <c r="J32" s="29">
        <f t="shared" si="1"/>
        <v>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hidden="1" customHeight="1" x14ac:dyDescent="0.45">
      <c r="A33" s="17"/>
      <c r="B33" s="28" t="s">
        <v>77</v>
      </c>
      <c r="C33" s="28"/>
      <c r="D33" s="19"/>
      <c r="E33" s="23">
        <v>25</v>
      </c>
      <c r="F33" s="23">
        <v>1000</v>
      </c>
      <c r="G33" s="23" t="s">
        <v>45</v>
      </c>
      <c r="H33" s="21"/>
      <c r="I33" s="21" t="s">
        <v>45</v>
      </c>
      <c r="J33" s="29">
        <f t="shared" si="1"/>
        <v>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hidden="1" customHeight="1" x14ac:dyDescent="0.45">
      <c r="A34" s="17"/>
      <c r="B34" s="28" t="s">
        <v>78</v>
      </c>
      <c r="C34" s="28"/>
      <c r="D34" s="19"/>
      <c r="E34" s="23">
        <v>5</v>
      </c>
      <c r="F34" s="23">
        <v>7000</v>
      </c>
      <c r="G34" s="23" t="s">
        <v>45</v>
      </c>
      <c r="H34" s="21"/>
      <c r="I34" s="21" t="s">
        <v>45</v>
      </c>
      <c r="J34" s="29">
        <f t="shared" si="1"/>
        <v>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hidden="1" customHeight="1" x14ac:dyDescent="0.45">
      <c r="A35" s="17"/>
      <c r="B35" s="28" t="s">
        <v>79</v>
      </c>
      <c r="C35" s="28"/>
      <c r="D35" s="19"/>
      <c r="E35" s="23">
        <v>20</v>
      </c>
      <c r="F35" s="23">
        <v>1200</v>
      </c>
      <c r="G35" s="23" t="s">
        <v>45</v>
      </c>
      <c r="H35" s="21"/>
      <c r="I35" s="21" t="s">
        <v>45</v>
      </c>
      <c r="J35" s="29">
        <f t="shared" si="1"/>
        <v>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hidden="1" customHeight="1" x14ac:dyDescent="0.45">
      <c r="A36" s="17"/>
      <c r="B36" s="28"/>
      <c r="C36" s="28"/>
      <c r="D36" s="19"/>
      <c r="E36" s="23"/>
      <c r="F36" s="23"/>
      <c r="G36" s="23"/>
      <c r="H36" s="21">
        <f ca="1">SUM(H14:H35)</f>
        <v>0</v>
      </c>
      <c r="I36" s="21"/>
      <c r="J36" s="2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hidden="1" customHeight="1" x14ac:dyDescent="0.45">
      <c r="A37" s="109">
        <v>2</v>
      </c>
      <c r="B37" s="110" t="s">
        <v>80</v>
      </c>
      <c r="C37" s="19"/>
      <c r="D37" s="17"/>
      <c r="E37" s="107" t="s">
        <v>81</v>
      </c>
      <c r="F37" s="102"/>
      <c r="G37" s="103"/>
      <c r="H37" s="21"/>
      <c r="I37" s="21"/>
      <c r="J37" s="2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hidden="1" customHeight="1" x14ac:dyDescent="0.45">
      <c r="A38" s="105"/>
      <c r="B38" s="105"/>
      <c r="C38" s="24">
        <v>0.1</v>
      </c>
      <c r="D38" s="17">
        <v>10000</v>
      </c>
      <c r="E38" s="23"/>
      <c r="F38" s="23">
        <v>100</v>
      </c>
      <c r="G38" s="23" t="s">
        <v>46</v>
      </c>
      <c r="H38" s="21"/>
      <c r="I38" s="21" t="s">
        <v>46</v>
      </c>
      <c r="J38" s="25">
        <f>(H38/F38)*D38</f>
        <v>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hidden="1" customHeight="1" x14ac:dyDescent="0.45">
      <c r="A39" s="17"/>
      <c r="B39" s="18"/>
      <c r="C39" s="17"/>
      <c r="D39" s="17"/>
      <c r="E39" s="23"/>
      <c r="F39" s="23"/>
      <c r="G39" s="23"/>
      <c r="H39" s="21"/>
      <c r="I39" s="21"/>
      <c r="J39" s="2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hidden="1" customHeight="1" x14ac:dyDescent="0.45">
      <c r="A40" s="33">
        <v>3</v>
      </c>
      <c r="B40" s="34" t="s">
        <v>82</v>
      </c>
      <c r="C40" s="24">
        <v>0.2</v>
      </c>
      <c r="D40" s="17">
        <v>20000</v>
      </c>
      <c r="E40" s="23"/>
      <c r="F40" s="23"/>
      <c r="G40" s="23"/>
      <c r="H40" s="21"/>
      <c r="I40" s="21"/>
      <c r="J40" s="2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hidden="1" customHeight="1" x14ac:dyDescent="0.45">
      <c r="A41" s="17"/>
      <c r="B41" s="35" t="s">
        <v>83</v>
      </c>
      <c r="C41" s="36"/>
      <c r="D41" s="17"/>
      <c r="E41" s="23">
        <v>40</v>
      </c>
      <c r="F41" s="23">
        <v>500</v>
      </c>
      <c r="G41" s="23"/>
      <c r="H41" s="21"/>
      <c r="I41" s="21" t="s">
        <v>45</v>
      </c>
      <c r="J41" s="25">
        <f t="shared" ref="J41:J43" si="2">IF(H41&lt;=500,(H41*E41),IF(H41&gt;500,20000))</f>
        <v>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hidden="1" customHeight="1" x14ac:dyDescent="0.45">
      <c r="A42" s="17"/>
      <c r="B42" s="35" t="s">
        <v>84</v>
      </c>
      <c r="C42" s="36"/>
      <c r="D42" s="17"/>
      <c r="E42" s="23">
        <v>40</v>
      </c>
      <c r="F42" s="23">
        <v>500</v>
      </c>
      <c r="G42" s="23"/>
      <c r="H42" s="21"/>
      <c r="I42" s="21" t="s">
        <v>45</v>
      </c>
      <c r="J42" s="25">
        <f t="shared" si="2"/>
        <v>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hidden="1" customHeight="1" x14ac:dyDescent="0.45">
      <c r="A43" s="17"/>
      <c r="B43" s="35" t="s">
        <v>85</v>
      </c>
      <c r="C43" s="36"/>
      <c r="D43" s="17"/>
      <c r="E43" s="23">
        <v>40</v>
      </c>
      <c r="F43" s="23">
        <v>500</v>
      </c>
      <c r="G43" s="23"/>
      <c r="H43" s="21"/>
      <c r="I43" s="21" t="s">
        <v>45</v>
      </c>
      <c r="J43" s="25">
        <f t="shared" si="2"/>
        <v>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hidden="1" customHeight="1" x14ac:dyDescent="0.45">
      <c r="A44" s="17"/>
      <c r="B44" s="35"/>
      <c r="C44" s="36"/>
      <c r="D44" s="17"/>
      <c r="E44" s="23"/>
      <c r="F44" s="23"/>
      <c r="G44" s="23"/>
      <c r="H44" s="21"/>
      <c r="I44" s="21"/>
      <c r="J44" s="2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hidden="1" customHeight="1" x14ac:dyDescent="0.45">
      <c r="A45" s="33">
        <v>4</v>
      </c>
      <c r="B45" s="37" t="s">
        <v>86</v>
      </c>
      <c r="C45" s="24">
        <v>0.05</v>
      </c>
      <c r="D45" s="17">
        <v>5000</v>
      </c>
      <c r="E45" s="23"/>
      <c r="F45" s="23">
        <v>30</v>
      </c>
      <c r="G45" s="23" t="s">
        <v>46</v>
      </c>
      <c r="H45" s="21"/>
      <c r="I45" s="21" t="s">
        <v>46</v>
      </c>
      <c r="J45" s="29" t="e">
        <f>IF(H45&lt;=30,(F45/H45)*5000/100,IF(H45&gt;30,0))</f>
        <v>#DIV/0!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hidden="1" customHeight="1" x14ac:dyDescent="0.45">
      <c r="A46" s="17"/>
      <c r="B46" s="27" t="s">
        <v>61</v>
      </c>
      <c r="C46" s="36"/>
      <c r="D46" s="17"/>
      <c r="E46" s="23"/>
      <c r="F46" s="23"/>
      <c r="G46" s="23"/>
      <c r="H46" s="21"/>
      <c r="I46" s="21"/>
      <c r="J46" s="2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hidden="1" customHeight="1" x14ac:dyDescent="0.45">
      <c r="A47" s="17"/>
      <c r="B47" s="27"/>
      <c r="C47" s="36"/>
      <c r="D47" s="17"/>
      <c r="E47" s="23"/>
      <c r="F47" s="23"/>
      <c r="G47" s="23"/>
      <c r="H47" s="21"/>
      <c r="I47" s="21"/>
      <c r="J47" s="2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hidden="1" customHeight="1" x14ac:dyDescent="0.45">
      <c r="A48" s="109">
        <v>5</v>
      </c>
      <c r="B48" s="111" t="s">
        <v>87</v>
      </c>
      <c r="C48" s="17"/>
      <c r="D48" s="17"/>
      <c r="E48" s="112" t="s">
        <v>81</v>
      </c>
      <c r="F48" s="102"/>
      <c r="G48" s="103"/>
      <c r="H48" s="21"/>
      <c r="I48" s="21"/>
      <c r="J48" s="2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hidden="1" customHeight="1" x14ac:dyDescent="0.45">
      <c r="A49" s="105"/>
      <c r="B49" s="105"/>
      <c r="C49" s="24">
        <v>0.1</v>
      </c>
      <c r="D49" s="17">
        <v>10000</v>
      </c>
      <c r="E49" s="23"/>
      <c r="F49" s="23">
        <v>100</v>
      </c>
      <c r="G49" s="23" t="s">
        <v>46</v>
      </c>
      <c r="H49" s="21"/>
      <c r="I49" s="21" t="s">
        <v>46</v>
      </c>
      <c r="J49" s="25">
        <f>(H49/F49)*D49</f>
        <v>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hidden="1" customHeight="1" x14ac:dyDescent="0.45">
      <c r="A50" s="17"/>
      <c r="B50" s="38"/>
      <c r="C50" s="19"/>
      <c r="D50" s="17"/>
      <c r="E50" s="23"/>
      <c r="F50" s="23"/>
      <c r="G50" s="23"/>
      <c r="H50" s="21"/>
      <c r="I50" s="21"/>
      <c r="J50" s="2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hidden="1" customHeight="1" x14ac:dyDescent="0.45">
      <c r="A51" s="17"/>
      <c r="B51" s="38"/>
      <c r="C51" s="19"/>
      <c r="D51" s="17"/>
      <c r="E51" s="23"/>
      <c r="F51" s="23"/>
      <c r="G51" s="23"/>
      <c r="H51" s="21"/>
      <c r="I51" s="21"/>
      <c r="J51" s="2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hidden="1" customHeight="1" x14ac:dyDescent="0.45">
      <c r="A52" s="33">
        <v>6</v>
      </c>
      <c r="B52" s="37" t="s">
        <v>88</v>
      </c>
      <c r="C52" s="24">
        <v>0.05</v>
      </c>
      <c r="D52" s="17">
        <v>5000</v>
      </c>
      <c r="E52" s="23"/>
      <c r="F52" s="23"/>
      <c r="G52" s="23"/>
      <c r="H52" s="21"/>
      <c r="I52" s="21"/>
      <c r="J52" s="2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hidden="1" customHeight="1" x14ac:dyDescent="0.45">
      <c r="A53" s="17"/>
      <c r="B53" s="39"/>
      <c r="C53" s="117" t="s">
        <v>89</v>
      </c>
      <c r="D53" s="17"/>
      <c r="E53" s="23" t="s">
        <v>90</v>
      </c>
      <c r="F53" s="23" t="s">
        <v>91</v>
      </c>
      <c r="G53" s="23" t="s">
        <v>92</v>
      </c>
      <c r="H53" s="21"/>
      <c r="I53" s="21"/>
      <c r="J53" s="2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hidden="1" customHeight="1" x14ac:dyDescent="0.45">
      <c r="A54" s="17"/>
      <c r="B54" s="39"/>
      <c r="C54" s="118"/>
      <c r="D54" s="17"/>
      <c r="E54" s="23" t="s">
        <v>93</v>
      </c>
      <c r="F54" s="23" t="s">
        <v>94</v>
      </c>
      <c r="G54" s="23" t="s">
        <v>95</v>
      </c>
      <c r="H54" s="21"/>
      <c r="I54" s="21"/>
      <c r="J54" s="2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hidden="1" customHeight="1" x14ac:dyDescent="0.45">
      <c r="A55" s="17"/>
      <c r="B55" s="39"/>
      <c r="C55" s="105"/>
      <c r="D55" s="40">
        <v>2000</v>
      </c>
      <c r="E55" s="23">
        <v>2000</v>
      </c>
      <c r="F55" s="23">
        <v>1333</v>
      </c>
      <c r="G55" s="23">
        <v>667</v>
      </c>
      <c r="H55" s="21"/>
      <c r="I55" s="21" t="s">
        <v>96</v>
      </c>
      <c r="J55" s="25">
        <f>IF(H55=0,0,IF(H55&gt;4,E55,IF(H55&gt;=3,F55,IF(H55&lt;=2,G55))))</f>
        <v>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hidden="1" customHeight="1" x14ac:dyDescent="0.45">
      <c r="A56" s="17"/>
      <c r="B56" s="39"/>
      <c r="C56" s="117" t="s">
        <v>97</v>
      </c>
      <c r="D56" s="17"/>
      <c r="E56" s="23" t="s">
        <v>90</v>
      </c>
      <c r="F56" s="23" t="s">
        <v>91</v>
      </c>
      <c r="G56" s="23" t="s">
        <v>92</v>
      </c>
      <c r="H56" s="21"/>
      <c r="I56" s="21"/>
      <c r="J56" s="2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hidden="1" customHeight="1" x14ac:dyDescent="0.45">
      <c r="A57" s="17"/>
      <c r="B57" s="39"/>
      <c r="C57" s="118"/>
      <c r="D57" s="17"/>
      <c r="E57" s="23" t="s">
        <v>98</v>
      </c>
      <c r="F57" s="23" t="s">
        <v>99</v>
      </c>
      <c r="G57" s="23" t="s">
        <v>100</v>
      </c>
      <c r="H57" s="21"/>
      <c r="I57" s="21"/>
      <c r="J57" s="2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hidden="1" customHeight="1" x14ac:dyDescent="0.45">
      <c r="A58" s="17"/>
      <c r="B58" s="39"/>
      <c r="C58" s="105"/>
      <c r="D58" s="40">
        <v>1000</v>
      </c>
      <c r="E58" s="23">
        <v>1000</v>
      </c>
      <c r="F58" s="23">
        <v>667</v>
      </c>
      <c r="G58" s="23">
        <v>333</v>
      </c>
      <c r="H58" s="21"/>
      <c r="I58" s="21" t="s">
        <v>101</v>
      </c>
      <c r="J58" s="25">
        <f>IF(H58=0,0,IF(H58&gt;=20,E58,IF(H58&gt;=10,F58,IF(H58&lt;=9,G58))))</f>
        <v>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hidden="1" customHeight="1" x14ac:dyDescent="0.45">
      <c r="A59" s="17"/>
      <c r="B59" s="39"/>
      <c r="C59" s="117" t="s">
        <v>102</v>
      </c>
      <c r="D59" s="17"/>
      <c r="E59" s="23" t="s">
        <v>90</v>
      </c>
      <c r="F59" s="23" t="s">
        <v>91</v>
      </c>
      <c r="G59" s="23" t="s">
        <v>92</v>
      </c>
      <c r="H59" s="21"/>
      <c r="I59" s="21"/>
      <c r="J59" s="2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hidden="1" customHeight="1" x14ac:dyDescent="0.45">
      <c r="A60" s="17"/>
      <c r="B60" s="39"/>
      <c r="C60" s="118"/>
      <c r="D60" s="17"/>
      <c r="E60" s="23" t="s">
        <v>103</v>
      </c>
      <c r="F60" s="23" t="s">
        <v>104</v>
      </c>
      <c r="G60" s="23" t="s">
        <v>105</v>
      </c>
      <c r="H60" s="21"/>
      <c r="I60" s="21"/>
      <c r="J60" s="2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hidden="1" customHeight="1" x14ac:dyDescent="0.45">
      <c r="A61" s="17"/>
      <c r="B61" s="39"/>
      <c r="C61" s="105"/>
      <c r="D61" s="40">
        <v>2000</v>
      </c>
      <c r="E61" s="23">
        <v>2000</v>
      </c>
      <c r="F61" s="23">
        <v>1333</v>
      </c>
      <c r="G61" s="23">
        <v>667</v>
      </c>
      <c r="H61" s="21"/>
      <c r="I61" s="21" t="s">
        <v>106</v>
      </c>
      <c r="J61" s="22">
        <f>IF(H61=0,0,IF(H61&gt;=3,E61,IF(H61=2,F61,IF(H61=1,G61))))</f>
        <v>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hidden="1" customHeight="1" x14ac:dyDescent="0.45">
      <c r="A62" s="17"/>
      <c r="B62" s="39"/>
      <c r="C62" s="28"/>
      <c r="D62" s="17"/>
      <c r="E62" s="23"/>
      <c r="F62" s="23"/>
      <c r="G62" s="23"/>
      <c r="H62" s="41"/>
      <c r="I62" s="21"/>
      <c r="J62" s="2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hidden="1" customHeight="1" x14ac:dyDescent="0.45">
      <c r="A63" s="33">
        <v>7</v>
      </c>
      <c r="B63" s="37" t="s">
        <v>107</v>
      </c>
      <c r="C63" s="24">
        <v>0.1</v>
      </c>
      <c r="D63" s="17">
        <v>10000</v>
      </c>
      <c r="E63" s="23">
        <v>2</v>
      </c>
      <c r="F63" s="23">
        <v>5000</v>
      </c>
      <c r="G63" s="23" t="s">
        <v>45</v>
      </c>
      <c r="H63" s="21"/>
      <c r="I63" s="21" t="s">
        <v>45</v>
      </c>
      <c r="J63" s="25">
        <f>H63*E63</f>
        <v>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hidden="1" customHeight="1" x14ac:dyDescent="0.45">
      <c r="A64" s="17"/>
      <c r="B64" s="39"/>
      <c r="C64" s="19"/>
      <c r="D64" s="19"/>
      <c r="E64" s="20"/>
      <c r="F64" s="20"/>
      <c r="G64" s="20"/>
      <c r="H64" s="41"/>
      <c r="I64" s="21"/>
      <c r="J64" s="2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hidden="1" customHeight="1" x14ac:dyDescent="0.45">
      <c r="A65" s="17"/>
      <c r="B65" s="42"/>
      <c r="C65" s="17"/>
      <c r="D65" s="17"/>
      <c r="E65" s="23" t="s">
        <v>90</v>
      </c>
      <c r="F65" s="23" t="s">
        <v>91</v>
      </c>
      <c r="G65" s="23" t="s">
        <v>92</v>
      </c>
      <c r="H65" s="21"/>
      <c r="I65" s="21"/>
      <c r="J65" s="2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hidden="1" customHeight="1" x14ac:dyDescent="0.45">
      <c r="A66" s="23"/>
      <c r="B66" s="23" t="s">
        <v>108</v>
      </c>
      <c r="C66" s="20"/>
      <c r="D66" s="20"/>
      <c r="E66" s="23">
        <v>5000</v>
      </c>
      <c r="F66" s="23">
        <v>3333</v>
      </c>
      <c r="G66" s="23">
        <v>1667</v>
      </c>
      <c r="H66" s="21"/>
      <c r="I66" s="22"/>
      <c r="J66" s="2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hidden="1" customHeight="1" x14ac:dyDescent="0.45">
      <c r="A67" s="109">
        <v>1</v>
      </c>
      <c r="B67" s="120" t="s">
        <v>109</v>
      </c>
      <c r="C67" s="19"/>
      <c r="D67" s="19"/>
      <c r="E67" s="17" t="s">
        <v>110</v>
      </c>
      <c r="F67" s="17" t="s">
        <v>111</v>
      </c>
      <c r="G67" s="17" t="s">
        <v>112</v>
      </c>
      <c r="H67" s="21"/>
      <c r="I67" s="22"/>
      <c r="J67" s="2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hidden="1" customHeight="1" x14ac:dyDescent="0.45">
      <c r="A68" s="105"/>
      <c r="B68" s="105"/>
      <c r="C68" s="24">
        <v>0.05</v>
      </c>
      <c r="D68" s="17">
        <v>5000</v>
      </c>
      <c r="E68" s="17">
        <v>5000</v>
      </c>
      <c r="F68" s="17">
        <v>3333</v>
      </c>
      <c r="G68" s="17">
        <v>1667</v>
      </c>
      <c r="H68" s="21"/>
      <c r="I68" s="21" t="s">
        <v>113</v>
      </c>
      <c r="J68" s="43">
        <f>IF(H68&gt;=15,E68,IF(H68&gt;=8,F68,IF(H68&gt;=2,G68,IF(H68&lt;2,0))))</f>
        <v>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hidden="1" customHeight="1" x14ac:dyDescent="0.45">
      <c r="A69" s="109">
        <v>2</v>
      </c>
      <c r="B69" s="120" t="s">
        <v>114</v>
      </c>
      <c r="C69" s="17"/>
      <c r="D69" s="17"/>
      <c r="E69" s="107" t="s">
        <v>81</v>
      </c>
      <c r="F69" s="102"/>
      <c r="G69" s="103"/>
      <c r="H69" s="21"/>
      <c r="I69" s="21"/>
      <c r="J69" s="44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hidden="1" customHeight="1" x14ac:dyDescent="0.45">
      <c r="A70" s="105"/>
      <c r="B70" s="105"/>
      <c r="C70" s="24">
        <v>0.05</v>
      </c>
      <c r="D70" s="17">
        <v>5000</v>
      </c>
      <c r="E70" s="23"/>
      <c r="F70" s="23">
        <v>100</v>
      </c>
      <c r="G70" s="23" t="s">
        <v>46</v>
      </c>
      <c r="H70" s="21"/>
      <c r="I70" s="21" t="s">
        <v>46</v>
      </c>
      <c r="J70" s="43">
        <f>H70/F70*D70*100</f>
        <v>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hidden="1" customHeight="1" x14ac:dyDescent="0.45">
      <c r="A71" s="109">
        <v>3</v>
      </c>
      <c r="B71" s="121" t="s">
        <v>115</v>
      </c>
      <c r="C71" s="17"/>
      <c r="D71" s="17"/>
      <c r="E71" s="17" t="s">
        <v>116</v>
      </c>
      <c r="F71" s="17" t="s">
        <v>117</v>
      </c>
      <c r="G71" s="17" t="s">
        <v>118</v>
      </c>
      <c r="H71" s="21"/>
      <c r="I71" s="45"/>
      <c r="J71" s="44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hidden="1" customHeight="1" x14ac:dyDescent="0.45">
      <c r="A72" s="105"/>
      <c r="B72" s="105"/>
      <c r="C72" s="24">
        <v>0.05</v>
      </c>
      <c r="D72" s="17">
        <v>5000</v>
      </c>
      <c r="E72" s="17">
        <v>5000</v>
      </c>
      <c r="F72" s="17">
        <v>2500</v>
      </c>
      <c r="G72" s="17">
        <v>0</v>
      </c>
      <c r="H72" s="21"/>
      <c r="I72" s="45" t="s">
        <v>119</v>
      </c>
      <c r="J72" s="43">
        <f>IF(H72&gt;=2,E72,IF(H72=1,F72,IF(H72=0,0)))</f>
        <v>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hidden="1" customHeight="1" x14ac:dyDescent="0.45">
      <c r="A73" s="109">
        <v>4</v>
      </c>
      <c r="B73" s="122" t="s">
        <v>120</v>
      </c>
      <c r="C73" s="17"/>
      <c r="D73" s="17"/>
      <c r="E73" s="107" t="s">
        <v>81</v>
      </c>
      <c r="F73" s="102"/>
      <c r="G73" s="103"/>
      <c r="H73" s="21"/>
      <c r="I73" s="45"/>
      <c r="J73" s="43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hidden="1" customHeight="1" x14ac:dyDescent="0.45">
      <c r="A74" s="105"/>
      <c r="B74" s="105"/>
      <c r="C74" s="24">
        <v>0.05</v>
      </c>
      <c r="D74" s="17">
        <v>5000</v>
      </c>
      <c r="E74" s="23"/>
      <c r="F74" s="23">
        <v>100</v>
      </c>
      <c r="G74" s="23" t="s">
        <v>46</v>
      </c>
      <c r="H74" s="21"/>
      <c r="I74" s="21" t="s">
        <v>46</v>
      </c>
      <c r="J74" s="43">
        <f>H74/F74*D74*100</f>
        <v>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hidden="1" customHeight="1" x14ac:dyDescent="0.45">
      <c r="A75" s="17"/>
      <c r="B75" s="18"/>
      <c r="C75" s="19"/>
      <c r="D75" s="19"/>
      <c r="E75" s="19"/>
      <c r="F75" s="19"/>
      <c r="G75" s="19"/>
      <c r="H75" s="21"/>
      <c r="I75" s="22"/>
      <c r="J75" s="2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hidden="1" customHeight="1" x14ac:dyDescent="0.45">
      <c r="A76" s="17"/>
      <c r="B76" s="18"/>
      <c r="C76" s="24">
        <v>1</v>
      </c>
      <c r="D76" s="17"/>
      <c r="E76" s="17"/>
      <c r="F76" s="17"/>
      <c r="G76" s="17"/>
      <c r="H76" s="21"/>
      <c r="I76" s="22"/>
      <c r="J76" s="2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hidden="1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hidden="1" customHeight="1" x14ac:dyDescent="0.6">
      <c r="A78" s="11"/>
      <c r="B78" s="11"/>
      <c r="C78" s="11"/>
      <c r="D78" s="11"/>
      <c r="E78" s="11"/>
      <c r="F78" s="11"/>
      <c r="G78" s="11"/>
      <c r="H78" s="113" t="s">
        <v>44</v>
      </c>
      <c r="I78" s="114"/>
      <c r="J78" s="46" t="e">
        <f ca="1">SUM(J9:J76)</f>
        <v>#VALUE!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hidden="1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hidden="1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hidden="1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hidden="1" customHeight="1" x14ac:dyDescent="0.5">
      <c r="A82" s="115" t="s">
        <v>50</v>
      </c>
      <c r="B82" s="101"/>
      <c r="C82" s="9"/>
      <c r="D82" s="10"/>
      <c r="E82" s="10"/>
      <c r="F82" s="10"/>
      <c r="G82" s="10"/>
      <c r="H82" s="10"/>
      <c r="I82" s="119">
        <v>44348</v>
      </c>
      <c r="J82" s="114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hidden="1" customHeight="1" x14ac:dyDescent="0.5">
      <c r="A83" s="8" t="s">
        <v>51</v>
      </c>
      <c r="B83" s="8"/>
      <c r="C83" s="8"/>
      <c r="D83" s="10"/>
      <c r="E83" s="10"/>
      <c r="F83" s="10"/>
      <c r="G83" s="10"/>
      <c r="H83" s="10"/>
      <c r="I83" s="10"/>
      <c r="J83" s="1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hidden="1" customHeight="1" x14ac:dyDescent="0.4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hidden="1" customHeight="1" x14ac:dyDescent="0.4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hidden="1" customHeight="1" x14ac:dyDescent="0.55000000000000004">
      <c r="A86" s="10"/>
      <c r="B86" s="12" t="s">
        <v>121</v>
      </c>
      <c r="C86" s="10"/>
      <c r="D86" s="10"/>
      <c r="E86" s="10"/>
      <c r="F86" s="10"/>
      <c r="G86" s="10"/>
      <c r="H86" s="10"/>
      <c r="I86" s="10"/>
      <c r="J86" s="1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hidden="1" customHeight="1" x14ac:dyDescent="0.3">
      <c r="A87" s="13" t="s">
        <v>4</v>
      </c>
      <c r="B87" s="13" t="s">
        <v>5</v>
      </c>
      <c r="C87" s="13" t="s">
        <v>6</v>
      </c>
      <c r="D87" s="13" t="s">
        <v>7</v>
      </c>
      <c r="E87" s="14" t="s">
        <v>9</v>
      </c>
      <c r="F87" s="14" t="s">
        <v>47</v>
      </c>
      <c r="G87" s="14" t="s">
        <v>11</v>
      </c>
      <c r="H87" s="15" t="s">
        <v>48</v>
      </c>
      <c r="I87" s="15" t="s">
        <v>11</v>
      </c>
      <c r="J87" s="15" t="s">
        <v>49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hidden="1" customHeight="1" x14ac:dyDescent="0.45">
      <c r="A88" s="17"/>
      <c r="B88" s="18"/>
      <c r="C88" s="19"/>
      <c r="D88" s="19"/>
      <c r="E88" s="20"/>
      <c r="F88" s="20"/>
      <c r="G88" s="20"/>
      <c r="H88" s="21"/>
      <c r="I88" s="21"/>
      <c r="J88" s="2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hidden="1" customHeight="1" x14ac:dyDescent="0.45">
      <c r="A89" s="23"/>
      <c r="B89" s="23" t="s">
        <v>53</v>
      </c>
      <c r="C89" s="20"/>
      <c r="D89" s="19"/>
      <c r="E89" s="20"/>
      <c r="F89" s="20"/>
      <c r="G89" s="20"/>
      <c r="H89" s="21"/>
      <c r="I89" s="21"/>
      <c r="J89" s="2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hidden="1" customHeight="1" x14ac:dyDescent="0.45">
      <c r="A90" s="17">
        <v>1</v>
      </c>
      <c r="B90" s="18" t="s">
        <v>54</v>
      </c>
      <c r="C90" s="24">
        <v>2.5000000000000001E-2</v>
      </c>
      <c r="D90" s="17">
        <v>2500</v>
      </c>
      <c r="E90" s="23">
        <v>96</v>
      </c>
      <c r="F90" s="23">
        <v>0</v>
      </c>
      <c r="G90" s="23" t="s">
        <v>55</v>
      </c>
      <c r="H90" s="21">
        <v>0</v>
      </c>
      <c r="I90" s="21" t="s">
        <v>55</v>
      </c>
      <c r="J90" s="25">
        <v>2500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hidden="1" customHeight="1" x14ac:dyDescent="0.45">
      <c r="A91" s="17">
        <v>2</v>
      </c>
      <c r="B91" s="18" t="s">
        <v>56</v>
      </c>
      <c r="C91" s="24">
        <v>2.5000000000000001E-2</v>
      </c>
      <c r="D91" s="17">
        <v>2500</v>
      </c>
      <c r="E91" s="23">
        <v>96</v>
      </c>
      <c r="F91" s="23">
        <v>0</v>
      </c>
      <c r="G91" s="23" t="s">
        <v>57</v>
      </c>
      <c r="H91" s="21"/>
      <c r="I91" s="21" t="s">
        <v>57</v>
      </c>
      <c r="J91" s="25">
        <v>2500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hidden="1" customHeight="1" x14ac:dyDescent="0.45">
      <c r="A92" s="17"/>
      <c r="B92" s="26">
        <v>0.05</v>
      </c>
      <c r="C92" s="17"/>
      <c r="D92" s="19"/>
      <c r="E92" s="23"/>
      <c r="F92" s="23"/>
      <c r="G92" s="23"/>
      <c r="H92" s="21"/>
      <c r="I92" s="21"/>
      <c r="J92" s="2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hidden="1" customHeight="1" x14ac:dyDescent="0.45">
      <c r="A93" s="23"/>
      <c r="B93" s="23" t="s">
        <v>14</v>
      </c>
      <c r="C93" s="20"/>
      <c r="D93" s="20"/>
      <c r="E93" s="20"/>
      <c r="F93" s="20"/>
      <c r="G93" s="20"/>
      <c r="H93" s="21"/>
      <c r="I93" s="21"/>
      <c r="J93" s="2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hidden="1" customHeight="1" x14ac:dyDescent="0.45">
      <c r="A94" s="17">
        <v>1</v>
      </c>
      <c r="B94" s="27" t="s">
        <v>58</v>
      </c>
      <c r="C94" s="24">
        <v>0.15</v>
      </c>
      <c r="D94" s="17">
        <v>15000</v>
      </c>
      <c r="E94" s="23"/>
      <c r="F94" s="23"/>
      <c r="G94" s="23"/>
      <c r="H94" s="21"/>
      <c r="I94" s="21"/>
      <c r="J94" s="2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hidden="1" customHeight="1" x14ac:dyDescent="0.45">
      <c r="A95" s="17"/>
      <c r="B95" s="28" t="s">
        <v>59</v>
      </c>
      <c r="C95" s="28"/>
      <c r="D95" s="17"/>
      <c r="E95" s="23">
        <v>12</v>
      </c>
      <c r="F95" s="23">
        <v>500</v>
      </c>
      <c r="G95" s="23" t="s">
        <v>45</v>
      </c>
      <c r="H95" s="21"/>
      <c r="I95" s="21" t="s">
        <v>45</v>
      </c>
      <c r="J95" s="29">
        <f t="shared" ref="J95:J101" si="3">H95*E95</f>
        <v>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hidden="1" customHeight="1" x14ac:dyDescent="0.45">
      <c r="A96" s="17"/>
      <c r="B96" s="28" t="s">
        <v>60</v>
      </c>
      <c r="C96" s="28"/>
      <c r="D96" s="17"/>
      <c r="E96" s="23">
        <v>20</v>
      </c>
      <c r="F96" s="23">
        <v>500</v>
      </c>
      <c r="G96" s="23" t="s">
        <v>45</v>
      </c>
      <c r="H96" s="21"/>
      <c r="I96" s="21" t="s">
        <v>45</v>
      </c>
      <c r="J96" s="29">
        <f t="shared" si="3"/>
        <v>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hidden="1" customHeight="1" x14ac:dyDescent="0.45">
      <c r="A97" s="17"/>
      <c r="B97" s="28" t="s">
        <v>61</v>
      </c>
      <c r="C97" s="28"/>
      <c r="D97" s="17"/>
      <c r="E97" s="23">
        <v>21</v>
      </c>
      <c r="F97" s="23">
        <v>500</v>
      </c>
      <c r="G97" s="23" t="s">
        <v>45</v>
      </c>
      <c r="H97" s="21"/>
      <c r="I97" s="21" t="s">
        <v>45</v>
      </c>
      <c r="J97" s="29">
        <f t="shared" si="3"/>
        <v>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hidden="1" customHeight="1" x14ac:dyDescent="0.45">
      <c r="A98" s="17"/>
      <c r="B98" s="28" t="s">
        <v>62</v>
      </c>
      <c r="C98" s="28"/>
      <c r="D98" s="17"/>
      <c r="E98" s="23">
        <v>10</v>
      </c>
      <c r="F98" s="23">
        <v>500</v>
      </c>
      <c r="G98" s="23" t="s">
        <v>45</v>
      </c>
      <c r="H98" s="21"/>
      <c r="I98" s="21" t="s">
        <v>45</v>
      </c>
      <c r="J98" s="29">
        <f t="shared" si="3"/>
        <v>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hidden="1" customHeight="1" x14ac:dyDescent="0.45">
      <c r="A99" s="17"/>
      <c r="B99" s="28" t="s">
        <v>64</v>
      </c>
      <c r="C99" s="28"/>
      <c r="D99" s="17"/>
      <c r="E99" s="23">
        <v>10</v>
      </c>
      <c r="F99" s="23">
        <v>500</v>
      </c>
      <c r="G99" s="23" t="s">
        <v>45</v>
      </c>
      <c r="H99" s="21"/>
      <c r="I99" s="21" t="s">
        <v>45</v>
      </c>
      <c r="J99" s="29">
        <f t="shared" si="3"/>
        <v>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hidden="1" customHeight="1" x14ac:dyDescent="0.45">
      <c r="A100" s="17"/>
      <c r="B100" s="28" t="s">
        <v>65</v>
      </c>
      <c r="C100" s="28"/>
      <c r="D100" s="17"/>
      <c r="E100" s="23">
        <v>20</v>
      </c>
      <c r="F100" s="23">
        <v>500</v>
      </c>
      <c r="G100" s="23" t="s">
        <v>45</v>
      </c>
      <c r="H100" s="21"/>
      <c r="I100" s="21" t="s">
        <v>45</v>
      </c>
      <c r="J100" s="29">
        <f t="shared" si="3"/>
        <v>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hidden="1" customHeight="1" x14ac:dyDescent="0.45">
      <c r="A101" s="17"/>
      <c r="B101" s="28" t="s">
        <v>63</v>
      </c>
      <c r="C101" s="28"/>
      <c r="D101" s="17"/>
      <c r="E101" s="23">
        <v>24</v>
      </c>
      <c r="F101" s="23">
        <v>1000</v>
      </c>
      <c r="G101" s="23" t="s">
        <v>45</v>
      </c>
      <c r="H101" s="21"/>
      <c r="I101" s="21" t="s">
        <v>45</v>
      </c>
      <c r="J101" s="29">
        <f t="shared" si="3"/>
        <v>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hidden="1" customHeight="1" x14ac:dyDescent="0.45">
      <c r="A102" s="30"/>
      <c r="B102" s="31"/>
      <c r="C102" s="31"/>
      <c r="D102" s="30"/>
      <c r="E102" s="30"/>
      <c r="F102" s="30"/>
      <c r="G102" s="30"/>
      <c r="H102" s="32"/>
      <c r="I102" s="32"/>
      <c r="J102" s="3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hidden="1" customHeight="1" x14ac:dyDescent="0.45">
      <c r="A103" s="17"/>
      <c r="B103" s="28" t="s">
        <v>66</v>
      </c>
      <c r="C103" s="28"/>
      <c r="D103" s="19"/>
      <c r="E103" s="23">
        <v>6</v>
      </c>
      <c r="F103" s="23">
        <v>5000</v>
      </c>
      <c r="G103" s="23" t="s">
        <v>45</v>
      </c>
      <c r="H103" s="21"/>
      <c r="I103" s="21" t="s">
        <v>45</v>
      </c>
      <c r="J103" s="29">
        <f t="shared" ref="J103:J117" si="4">H103*E103</f>
        <v>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hidden="1" customHeight="1" x14ac:dyDescent="0.45">
      <c r="A104" s="17"/>
      <c r="B104" s="28" t="s">
        <v>67</v>
      </c>
      <c r="C104" s="28"/>
      <c r="D104" s="19"/>
      <c r="E104" s="23">
        <v>10</v>
      </c>
      <c r="F104" s="23">
        <v>2500</v>
      </c>
      <c r="G104" s="23" t="s">
        <v>45</v>
      </c>
      <c r="H104" s="21"/>
      <c r="I104" s="21" t="s">
        <v>45</v>
      </c>
      <c r="J104" s="29">
        <f t="shared" si="4"/>
        <v>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hidden="1" customHeight="1" x14ac:dyDescent="0.45">
      <c r="A105" s="17"/>
      <c r="B105" s="28" t="s">
        <v>68</v>
      </c>
      <c r="C105" s="28"/>
      <c r="D105" s="19"/>
      <c r="E105" s="23">
        <v>25</v>
      </c>
      <c r="F105" s="23">
        <v>1000</v>
      </c>
      <c r="G105" s="23" t="s">
        <v>45</v>
      </c>
      <c r="H105" s="21"/>
      <c r="I105" s="21" t="s">
        <v>45</v>
      </c>
      <c r="J105" s="29">
        <f t="shared" si="4"/>
        <v>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hidden="1" customHeight="1" x14ac:dyDescent="0.45">
      <c r="A106" s="17"/>
      <c r="B106" s="28" t="s">
        <v>69</v>
      </c>
      <c r="C106" s="28"/>
      <c r="D106" s="19"/>
      <c r="E106" s="23">
        <v>6</v>
      </c>
      <c r="F106" s="23">
        <v>5000</v>
      </c>
      <c r="G106" s="23" t="s">
        <v>45</v>
      </c>
      <c r="H106" s="21"/>
      <c r="I106" s="21" t="s">
        <v>45</v>
      </c>
      <c r="J106" s="29">
        <f t="shared" si="4"/>
        <v>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hidden="1" customHeight="1" x14ac:dyDescent="0.45">
      <c r="A107" s="17"/>
      <c r="B107" s="28" t="s">
        <v>70</v>
      </c>
      <c r="C107" s="28"/>
      <c r="D107" s="19"/>
      <c r="E107" s="23">
        <v>10</v>
      </c>
      <c r="F107" s="23">
        <v>2500</v>
      </c>
      <c r="G107" s="23" t="s">
        <v>45</v>
      </c>
      <c r="H107" s="21"/>
      <c r="I107" s="21" t="s">
        <v>45</v>
      </c>
      <c r="J107" s="29">
        <f t="shared" si="4"/>
        <v>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hidden="1" customHeight="1" x14ac:dyDescent="0.45">
      <c r="A108" s="17"/>
      <c r="B108" s="28" t="s">
        <v>71</v>
      </c>
      <c r="C108" s="28"/>
      <c r="D108" s="19"/>
      <c r="E108" s="23">
        <v>10</v>
      </c>
      <c r="F108" s="23">
        <v>2500</v>
      </c>
      <c r="G108" s="23" t="s">
        <v>45</v>
      </c>
      <c r="H108" s="21"/>
      <c r="I108" s="21" t="s">
        <v>45</v>
      </c>
      <c r="J108" s="29">
        <f t="shared" si="4"/>
        <v>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hidden="1" customHeight="1" x14ac:dyDescent="0.45">
      <c r="A109" s="17"/>
      <c r="B109" s="28" t="s">
        <v>72</v>
      </c>
      <c r="C109" s="28"/>
      <c r="D109" s="19"/>
      <c r="E109" s="23">
        <v>6</v>
      </c>
      <c r="F109" s="23">
        <v>5000</v>
      </c>
      <c r="G109" s="23" t="s">
        <v>45</v>
      </c>
      <c r="H109" s="21"/>
      <c r="I109" s="21" t="s">
        <v>45</v>
      </c>
      <c r="J109" s="29">
        <f t="shared" si="4"/>
        <v>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hidden="1" customHeight="1" x14ac:dyDescent="0.45">
      <c r="A110" s="17"/>
      <c r="B110" s="28" t="s">
        <v>73</v>
      </c>
      <c r="C110" s="28"/>
      <c r="D110" s="19"/>
      <c r="E110" s="23">
        <v>20</v>
      </c>
      <c r="F110" s="23">
        <v>1200</v>
      </c>
      <c r="G110" s="23" t="s">
        <v>45</v>
      </c>
      <c r="H110" s="21"/>
      <c r="I110" s="21" t="s">
        <v>45</v>
      </c>
      <c r="J110" s="29">
        <f t="shared" si="4"/>
        <v>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hidden="1" customHeight="1" x14ac:dyDescent="0.45">
      <c r="A111" s="17"/>
      <c r="B111" s="28" t="s">
        <v>74</v>
      </c>
      <c r="C111" s="28"/>
      <c r="D111" s="19"/>
      <c r="E111" s="23">
        <v>6</v>
      </c>
      <c r="F111" s="23">
        <v>5000</v>
      </c>
      <c r="G111" s="23" t="s">
        <v>45</v>
      </c>
      <c r="H111" s="21"/>
      <c r="I111" s="21" t="s">
        <v>45</v>
      </c>
      <c r="J111" s="29">
        <f t="shared" si="4"/>
        <v>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hidden="1" customHeight="1" x14ac:dyDescent="0.45">
      <c r="A112" s="17"/>
      <c r="B112" s="28" t="s">
        <v>75</v>
      </c>
      <c r="C112" s="28"/>
      <c r="D112" s="19"/>
      <c r="E112" s="23">
        <v>12</v>
      </c>
      <c r="F112" s="23">
        <v>2000</v>
      </c>
      <c r="G112" s="23" t="s">
        <v>45</v>
      </c>
      <c r="H112" s="21"/>
      <c r="I112" s="21" t="s">
        <v>45</v>
      </c>
      <c r="J112" s="29">
        <f t="shared" si="4"/>
        <v>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hidden="1" customHeight="1" x14ac:dyDescent="0.45">
      <c r="A113" s="17"/>
      <c r="B113" s="28" t="s">
        <v>76</v>
      </c>
      <c r="C113" s="28"/>
      <c r="D113" s="19"/>
      <c r="E113" s="23">
        <v>5</v>
      </c>
      <c r="F113" s="23">
        <v>7000</v>
      </c>
      <c r="G113" s="23" t="s">
        <v>45</v>
      </c>
      <c r="H113" s="21"/>
      <c r="I113" s="21" t="s">
        <v>45</v>
      </c>
      <c r="J113" s="29">
        <f t="shared" si="4"/>
        <v>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hidden="1" customHeight="1" x14ac:dyDescent="0.45">
      <c r="A114" s="17"/>
      <c r="B114" s="28" t="s">
        <v>77</v>
      </c>
      <c r="C114" s="28"/>
      <c r="D114" s="19"/>
      <c r="E114" s="23">
        <v>25</v>
      </c>
      <c r="F114" s="23">
        <v>1000</v>
      </c>
      <c r="G114" s="23" t="s">
        <v>45</v>
      </c>
      <c r="H114" s="21"/>
      <c r="I114" s="21" t="s">
        <v>45</v>
      </c>
      <c r="J114" s="29">
        <f t="shared" si="4"/>
        <v>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hidden="1" customHeight="1" x14ac:dyDescent="0.45">
      <c r="A115" s="17"/>
      <c r="B115" s="28" t="s">
        <v>78</v>
      </c>
      <c r="C115" s="28"/>
      <c r="D115" s="19"/>
      <c r="E115" s="23">
        <v>5</v>
      </c>
      <c r="F115" s="23">
        <v>7000</v>
      </c>
      <c r="G115" s="23" t="s">
        <v>45</v>
      </c>
      <c r="H115" s="21"/>
      <c r="I115" s="21" t="s">
        <v>45</v>
      </c>
      <c r="J115" s="29">
        <f t="shared" si="4"/>
        <v>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hidden="1" customHeight="1" x14ac:dyDescent="0.45">
      <c r="A116" s="17"/>
      <c r="B116" s="28" t="s">
        <v>79</v>
      </c>
      <c r="C116" s="28"/>
      <c r="D116" s="19"/>
      <c r="E116" s="23">
        <v>20</v>
      </c>
      <c r="F116" s="23">
        <v>1200</v>
      </c>
      <c r="G116" s="23" t="s">
        <v>45</v>
      </c>
      <c r="H116" s="21"/>
      <c r="I116" s="21" t="s">
        <v>45</v>
      </c>
      <c r="J116" s="29">
        <f t="shared" si="4"/>
        <v>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hidden="1" customHeight="1" x14ac:dyDescent="0.45">
      <c r="A117" s="17"/>
      <c r="B117" s="28" t="s">
        <v>122</v>
      </c>
      <c r="C117" s="28"/>
      <c r="D117" s="19"/>
      <c r="E117" s="23"/>
      <c r="F117" s="23"/>
      <c r="G117" s="23"/>
      <c r="H117" s="21"/>
      <c r="I117" s="21" t="s">
        <v>45</v>
      </c>
      <c r="J117" s="29">
        <f t="shared" si="4"/>
        <v>0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hidden="1" customHeight="1" x14ac:dyDescent="0.45">
      <c r="A118" s="17"/>
      <c r="B118" s="28"/>
      <c r="C118" s="28"/>
      <c r="D118" s="19"/>
      <c r="E118" s="23"/>
      <c r="F118" s="23"/>
      <c r="G118" s="23"/>
      <c r="H118" s="21"/>
      <c r="I118" s="21"/>
      <c r="J118" s="2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hidden="1" customHeight="1" x14ac:dyDescent="0.45">
      <c r="A119" s="109">
        <v>2</v>
      </c>
      <c r="B119" s="110" t="s">
        <v>80</v>
      </c>
      <c r="C119" s="19"/>
      <c r="D119" s="17"/>
      <c r="E119" s="107" t="s">
        <v>81</v>
      </c>
      <c r="F119" s="102"/>
      <c r="G119" s="103"/>
      <c r="H119" s="21"/>
      <c r="I119" s="21"/>
      <c r="J119" s="2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hidden="1" customHeight="1" x14ac:dyDescent="0.45">
      <c r="A120" s="105"/>
      <c r="B120" s="105"/>
      <c r="C120" s="24">
        <v>0.1</v>
      </c>
      <c r="D120" s="17">
        <v>10000</v>
      </c>
      <c r="E120" s="23"/>
      <c r="F120" s="23">
        <v>100</v>
      </c>
      <c r="G120" s="23" t="s">
        <v>46</v>
      </c>
      <c r="H120" s="21"/>
      <c r="I120" s="21" t="s">
        <v>46</v>
      </c>
      <c r="J120" s="25">
        <f>(H120/F120)*D120</f>
        <v>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hidden="1" customHeight="1" x14ac:dyDescent="0.45">
      <c r="A121" s="17"/>
      <c r="B121" s="18"/>
      <c r="C121" s="17"/>
      <c r="D121" s="17"/>
      <c r="E121" s="23"/>
      <c r="F121" s="23"/>
      <c r="G121" s="23"/>
      <c r="H121" s="21"/>
      <c r="I121" s="21"/>
      <c r="J121" s="2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hidden="1" customHeight="1" x14ac:dyDescent="0.45">
      <c r="A122" s="33">
        <v>3</v>
      </c>
      <c r="B122" s="34" t="s">
        <v>82</v>
      </c>
      <c r="C122" s="24">
        <v>0.2</v>
      </c>
      <c r="D122" s="17">
        <v>20000</v>
      </c>
      <c r="E122" s="23"/>
      <c r="F122" s="23"/>
      <c r="G122" s="23"/>
      <c r="H122" s="21"/>
      <c r="I122" s="21"/>
      <c r="J122" s="2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hidden="1" customHeight="1" x14ac:dyDescent="0.45">
      <c r="A123" s="17"/>
      <c r="B123" s="35" t="s">
        <v>83</v>
      </c>
      <c r="C123" s="36"/>
      <c r="D123" s="17"/>
      <c r="E123" s="23">
        <v>40</v>
      </c>
      <c r="F123" s="23">
        <v>500</v>
      </c>
      <c r="G123" s="23"/>
      <c r="H123" s="21"/>
      <c r="I123" s="21" t="s">
        <v>45</v>
      </c>
      <c r="J123" s="29">
        <f t="shared" ref="J123:J125" si="5">IF(H123&lt;=500,(H123*E123),IF(H123&gt;500,20000))</f>
        <v>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hidden="1" customHeight="1" x14ac:dyDescent="0.45">
      <c r="A124" s="17"/>
      <c r="B124" s="35" t="s">
        <v>84</v>
      </c>
      <c r="C124" s="36"/>
      <c r="D124" s="17"/>
      <c r="E124" s="23">
        <v>40</v>
      </c>
      <c r="F124" s="23">
        <v>500</v>
      </c>
      <c r="G124" s="23"/>
      <c r="H124" s="21"/>
      <c r="I124" s="21" t="s">
        <v>45</v>
      </c>
      <c r="J124" s="25">
        <f t="shared" si="5"/>
        <v>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hidden="1" customHeight="1" x14ac:dyDescent="0.45">
      <c r="A125" s="17"/>
      <c r="B125" s="35" t="s">
        <v>85</v>
      </c>
      <c r="C125" s="36"/>
      <c r="D125" s="17"/>
      <c r="E125" s="23">
        <v>40</v>
      </c>
      <c r="F125" s="23">
        <v>500</v>
      </c>
      <c r="G125" s="23"/>
      <c r="H125" s="21"/>
      <c r="I125" s="21" t="s">
        <v>45</v>
      </c>
      <c r="J125" s="25">
        <f t="shared" si="5"/>
        <v>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hidden="1" customHeight="1" x14ac:dyDescent="0.45">
      <c r="A126" s="17"/>
      <c r="B126" s="35"/>
      <c r="C126" s="36"/>
      <c r="D126" s="17"/>
      <c r="E126" s="23"/>
      <c r="F126" s="23"/>
      <c r="G126" s="23"/>
      <c r="H126" s="21"/>
      <c r="I126" s="21"/>
      <c r="J126" s="2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hidden="1" customHeight="1" x14ac:dyDescent="0.45">
      <c r="A127" s="33">
        <v>4</v>
      </c>
      <c r="B127" s="37" t="s">
        <v>86</v>
      </c>
      <c r="C127" s="24">
        <v>0.05</v>
      </c>
      <c r="D127" s="17">
        <v>5000</v>
      </c>
      <c r="E127" s="23"/>
      <c r="F127" s="23">
        <v>30</v>
      </c>
      <c r="G127" s="23" t="s">
        <v>46</v>
      </c>
      <c r="H127" s="47"/>
      <c r="I127" s="47" t="s">
        <v>46</v>
      </c>
      <c r="J127" s="48" t="e">
        <f>IF(H127&lt;=30,(F127/H127)*5000/100,IF(H127&gt;30,0))</f>
        <v>#DIV/0!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hidden="1" customHeight="1" x14ac:dyDescent="0.45">
      <c r="A128" s="17"/>
      <c r="B128" s="27" t="s">
        <v>61</v>
      </c>
      <c r="C128" s="36"/>
      <c r="D128" s="17"/>
      <c r="E128" s="23"/>
      <c r="F128" s="23"/>
      <c r="G128" s="23"/>
      <c r="H128" s="21"/>
      <c r="I128" s="21"/>
      <c r="J128" s="2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hidden="1" customHeight="1" x14ac:dyDescent="0.45">
      <c r="A129" s="17"/>
      <c r="B129" s="27"/>
      <c r="C129" s="36"/>
      <c r="D129" s="17"/>
      <c r="E129" s="23"/>
      <c r="F129" s="23"/>
      <c r="G129" s="23"/>
      <c r="H129" s="21"/>
      <c r="I129" s="21"/>
      <c r="J129" s="2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hidden="1" customHeight="1" x14ac:dyDescent="0.45">
      <c r="A130" s="109">
        <v>5</v>
      </c>
      <c r="B130" s="111" t="s">
        <v>87</v>
      </c>
      <c r="C130" s="17"/>
      <c r="D130" s="17"/>
      <c r="E130" s="112" t="s">
        <v>81</v>
      </c>
      <c r="F130" s="102"/>
      <c r="G130" s="103"/>
      <c r="H130" s="21"/>
      <c r="I130" s="21"/>
      <c r="J130" s="2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hidden="1" customHeight="1" x14ac:dyDescent="0.45">
      <c r="A131" s="105"/>
      <c r="B131" s="105"/>
      <c r="C131" s="24">
        <v>0.1</v>
      </c>
      <c r="D131" s="17">
        <v>10000</v>
      </c>
      <c r="E131" s="23"/>
      <c r="F131" s="23">
        <v>100</v>
      </c>
      <c r="G131" s="23" t="s">
        <v>46</v>
      </c>
      <c r="H131" s="21"/>
      <c r="I131" s="21" t="s">
        <v>46</v>
      </c>
      <c r="J131" s="25">
        <f>(H131/F131)*D131</f>
        <v>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hidden="1" customHeight="1" x14ac:dyDescent="0.45">
      <c r="A132" s="17"/>
      <c r="B132" s="38"/>
      <c r="C132" s="19"/>
      <c r="D132" s="17"/>
      <c r="E132" s="23"/>
      <c r="F132" s="23"/>
      <c r="G132" s="23"/>
      <c r="H132" s="21"/>
      <c r="I132" s="21"/>
      <c r="J132" s="2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hidden="1" customHeight="1" x14ac:dyDescent="0.45">
      <c r="A133" s="17"/>
      <c r="B133" s="38"/>
      <c r="C133" s="19"/>
      <c r="D133" s="17"/>
      <c r="E133" s="23"/>
      <c r="F133" s="23"/>
      <c r="G133" s="23"/>
      <c r="H133" s="21"/>
      <c r="I133" s="21"/>
      <c r="J133" s="2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hidden="1" customHeight="1" x14ac:dyDescent="0.45">
      <c r="A134" s="33">
        <v>6</v>
      </c>
      <c r="B134" s="37" t="s">
        <v>88</v>
      </c>
      <c r="C134" s="24">
        <v>0.05</v>
      </c>
      <c r="D134" s="17">
        <v>5000</v>
      </c>
      <c r="E134" s="23"/>
      <c r="F134" s="23"/>
      <c r="G134" s="23"/>
      <c r="H134" s="21"/>
      <c r="I134" s="21"/>
      <c r="J134" s="2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hidden="1" customHeight="1" x14ac:dyDescent="0.45">
      <c r="A135" s="17"/>
      <c r="B135" s="39"/>
      <c r="C135" s="117" t="s">
        <v>89</v>
      </c>
      <c r="D135" s="17"/>
      <c r="E135" s="23" t="s">
        <v>90</v>
      </c>
      <c r="F135" s="23" t="s">
        <v>91</v>
      </c>
      <c r="G135" s="23" t="s">
        <v>92</v>
      </c>
      <c r="H135" s="21"/>
      <c r="I135" s="21"/>
      <c r="J135" s="2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hidden="1" customHeight="1" x14ac:dyDescent="0.45">
      <c r="A136" s="17"/>
      <c r="B136" s="39"/>
      <c r="C136" s="118"/>
      <c r="D136" s="17"/>
      <c r="E136" s="23" t="s">
        <v>93</v>
      </c>
      <c r="F136" s="23" t="s">
        <v>94</v>
      </c>
      <c r="G136" s="23" t="s">
        <v>95</v>
      </c>
      <c r="H136" s="21"/>
      <c r="I136" s="21"/>
      <c r="J136" s="2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hidden="1" customHeight="1" x14ac:dyDescent="0.45">
      <c r="A137" s="17"/>
      <c r="B137" s="39"/>
      <c r="C137" s="105"/>
      <c r="D137" s="40">
        <v>2000</v>
      </c>
      <c r="E137" s="23">
        <v>2000</v>
      </c>
      <c r="F137" s="23">
        <v>1333</v>
      </c>
      <c r="G137" s="23">
        <v>667</v>
      </c>
      <c r="H137" s="21"/>
      <c r="I137" s="21" t="s">
        <v>96</v>
      </c>
      <c r="J137" s="25">
        <f>IF(H137=0,0,IF(H137&gt;4,E137,IF(H137&gt;=3,F137,IF(H137&lt;=2,G137))))</f>
        <v>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hidden="1" customHeight="1" x14ac:dyDescent="0.45">
      <c r="A138" s="17"/>
      <c r="B138" s="39"/>
      <c r="C138" s="117" t="s">
        <v>97</v>
      </c>
      <c r="D138" s="17"/>
      <c r="E138" s="23" t="s">
        <v>90</v>
      </c>
      <c r="F138" s="23" t="s">
        <v>91</v>
      </c>
      <c r="G138" s="23" t="s">
        <v>92</v>
      </c>
      <c r="H138" s="21"/>
      <c r="I138" s="21"/>
      <c r="J138" s="2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hidden="1" customHeight="1" x14ac:dyDescent="0.45">
      <c r="A139" s="17"/>
      <c r="B139" s="39"/>
      <c r="C139" s="118"/>
      <c r="D139" s="17"/>
      <c r="E139" s="23" t="s">
        <v>98</v>
      </c>
      <c r="F139" s="23" t="s">
        <v>99</v>
      </c>
      <c r="G139" s="23" t="s">
        <v>100</v>
      </c>
      <c r="H139" s="21"/>
      <c r="I139" s="21"/>
      <c r="J139" s="2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hidden="1" customHeight="1" x14ac:dyDescent="0.45">
      <c r="A140" s="17"/>
      <c r="B140" s="39"/>
      <c r="C140" s="105"/>
      <c r="D140" s="40">
        <v>1000</v>
      </c>
      <c r="E140" s="23">
        <v>1000</v>
      </c>
      <c r="F140" s="23">
        <v>667</v>
      </c>
      <c r="G140" s="23">
        <v>333</v>
      </c>
      <c r="H140" s="21"/>
      <c r="I140" s="21" t="s">
        <v>101</v>
      </c>
      <c r="J140" s="25">
        <f>IF(H140=0,0,IF(H140&gt;=20,E140,IF(H140&gt;=10,F140,IF(H140&lt;=9,G140))))</f>
        <v>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hidden="1" customHeight="1" x14ac:dyDescent="0.45">
      <c r="A141" s="17"/>
      <c r="B141" s="39"/>
      <c r="C141" s="117" t="s">
        <v>102</v>
      </c>
      <c r="D141" s="17"/>
      <c r="E141" s="23" t="s">
        <v>90</v>
      </c>
      <c r="F141" s="23" t="s">
        <v>91</v>
      </c>
      <c r="G141" s="23" t="s">
        <v>92</v>
      </c>
      <c r="H141" s="21"/>
      <c r="I141" s="21"/>
      <c r="J141" s="2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hidden="1" customHeight="1" x14ac:dyDescent="0.45">
      <c r="A142" s="17"/>
      <c r="B142" s="39"/>
      <c r="C142" s="118"/>
      <c r="D142" s="17"/>
      <c r="E142" s="23" t="s">
        <v>103</v>
      </c>
      <c r="F142" s="23" t="s">
        <v>104</v>
      </c>
      <c r="G142" s="23" t="s">
        <v>105</v>
      </c>
      <c r="H142" s="21"/>
      <c r="I142" s="21"/>
      <c r="J142" s="25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hidden="1" customHeight="1" x14ac:dyDescent="0.45">
      <c r="A143" s="17"/>
      <c r="B143" s="39"/>
      <c r="C143" s="105"/>
      <c r="D143" s="40">
        <v>2000</v>
      </c>
      <c r="E143" s="23">
        <v>2000</v>
      </c>
      <c r="F143" s="23">
        <v>1333</v>
      </c>
      <c r="G143" s="23">
        <v>667</v>
      </c>
      <c r="H143" s="21"/>
      <c r="I143" s="21" t="s">
        <v>106</v>
      </c>
      <c r="J143" s="22">
        <f>IF(H143=0,0,IF(H143&gt;=3,E143,IF(H143=2,F143,IF(H143=1,G143))))</f>
        <v>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hidden="1" customHeight="1" x14ac:dyDescent="0.45">
      <c r="A144" s="17"/>
      <c r="B144" s="39"/>
      <c r="C144" s="28"/>
      <c r="D144" s="17"/>
      <c r="E144" s="23"/>
      <c r="F144" s="23"/>
      <c r="G144" s="23"/>
      <c r="H144" s="41"/>
      <c r="I144" s="21"/>
      <c r="J144" s="22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hidden="1" customHeight="1" x14ac:dyDescent="0.45">
      <c r="A145" s="33">
        <v>7</v>
      </c>
      <c r="B145" s="37" t="s">
        <v>107</v>
      </c>
      <c r="C145" s="24">
        <v>0.1</v>
      </c>
      <c r="D145" s="17">
        <v>10000</v>
      </c>
      <c r="E145" s="23">
        <v>2</v>
      </c>
      <c r="F145" s="23">
        <v>5000</v>
      </c>
      <c r="G145" s="23" t="s">
        <v>45</v>
      </c>
      <c r="H145" s="21"/>
      <c r="I145" s="21" t="s">
        <v>45</v>
      </c>
      <c r="J145" s="25">
        <f>H145*E145</f>
        <v>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hidden="1" customHeight="1" x14ac:dyDescent="0.45">
      <c r="A146" s="17"/>
      <c r="B146" s="39"/>
      <c r="C146" s="19"/>
      <c r="D146" s="19"/>
      <c r="E146" s="20"/>
      <c r="F146" s="20"/>
      <c r="G146" s="20"/>
      <c r="H146" s="41"/>
      <c r="I146" s="21"/>
      <c r="J146" s="2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hidden="1" customHeight="1" x14ac:dyDescent="0.45">
      <c r="A147" s="17"/>
      <c r="B147" s="42"/>
      <c r="C147" s="17"/>
      <c r="D147" s="17"/>
      <c r="E147" s="23" t="s">
        <v>90</v>
      </c>
      <c r="F147" s="23" t="s">
        <v>91</v>
      </c>
      <c r="G147" s="23" t="s">
        <v>92</v>
      </c>
      <c r="H147" s="21"/>
      <c r="I147" s="21"/>
      <c r="J147" s="2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hidden="1" customHeight="1" x14ac:dyDescent="0.45">
      <c r="A148" s="23"/>
      <c r="B148" s="23" t="s">
        <v>108</v>
      </c>
      <c r="C148" s="20"/>
      <c r="D148" s="20"/>
      <c r="E148" s="23">
        <v>5000</v>
      </c>
      <c r="F148" s="23">
        <v>3333</v>
      </c>
      <c r="G148" s="23">
        <v>1667</v>
      </c>
      <c r="H148" s="21"/>
      <c r="I148" s="22"/>
      <c r="J148" s="22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hidden="1" customHeight="1" x14ac:dyDescent="0.45">
      <c r="A149" s="104">
        <v>1</v>
      </c>
      <c r="B149" s="106" t="s">
        <v>109</v>
      </c>
      <c r="C149" s="19"/>
      <c r="D149" s="19"/>
      <c r="E149" s="17" t="s">
        <v>110</v>
      </c>
      <c r="F149" s="17" t="s">
        <v>111</v>
      </c>
      <c r="G149" s="17" t="s">
        <v>112</v>
      </c>
      <c r="H149" s="21"/>
      <c r="I149" s="22"/>
      <c r="J149" s="2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hidden="1" customHeight="1" x14ac:dyDescent="0.45">
      <c r="A150" s="105"/>
      <c r="B150" s="105"/>
      <c r="C150" s="24">
        <v>0.05</v>
      </c>
      <c r="D150" s="17">
        <v>5000</v>
      </c>
      <c r="E150" s="17">
        <v>5000</v>
      </c>
      <c r="F150" s="17">
        <v>3333</v>
      </c>
      <c r="G150" s="17">
        <v>1667</v>
      </c>
      <c r="H150" s="21"/>
      <c r="I150" s="21" t="s">
        <v>113</v>
      </c>
      <c r="J150" s="43">
        <f>IF(H150&gt;=15,E150,IF(H150&gt;=8,F150,IF(H150&gt;=2,G150,IF(H150&lt;2,0))))</f>
        <v>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hidden="1" customHeight="1" x14ac:dyDescent="0.45">
      <c r="A151" s="104">
        <v>2</v>
      </c>
      <c r="B151" s="106" t="s">
        <v>114</v>
      </c>
      <c r="C151" s="17"/>
      <c r="D151" s="17"/>
      <c r="E151" s="107" t="s">
        <v>81</v>
      </c>
      <c r="F151" s="102"/>
      <c r="G151" s="103"/>
      <c r="H151" s="21"/>
      <c r="I151" s="21"/>
      <c r="J151" s="44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hidden="1" customHeight="1" x14ac:dyDescent="0.45">
      <c r="A152" s="105"/>
      <c r="B152" s="105"/>
      <c r="C152" s="24">
        <v>0.05</v>
      </c>
      <c r="D152" s="17">
        <v>5000</v>
      </c>
      <c r="E152" s="23"/>
      <c r="F152" s="23">
        <v>100</v>
      </c>
      <c r="G152" s="23" t="s">
        <v>46</v>
      </c>
      <c r="H152" s="21"/>
      <c r="I152" s="21" t="s">
        <v>46</v>
      </c>
      <c r="J152" s="43">
        <f>H152/F152*D152*100</f>
        <v>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hidden="1" customHeight="1" x14ac:dyDescent="0.45">
      <c r="A153" s="104">
        <v>3</v>
      </c>
      <c r="B153" s="108" t="s">
        <v>115</v>
      </c>
      <c r="C153" s="17"/>
      <c r="D153" s="17"/>
      <c r="E153" s="17" t="s">
        <v>116</v>
      </c>
      <c r="F153" s="17" t="s">
        <v>117</v>
      </c>
      <c r="G153" s="17" t="s">
        <v>118</v>
      </c>
      <c r="H153" s="21"/>
      <c r="I153" s="45"/>
      <c r="J153" s="44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hidden="1" customHeight="1" x14ac:dyDescent="0.45">
      <c r="A154" s="105"/>
      <c r="B154" s="105"/>
      <c r="C154" s="24">
        <v>0.05</v>
      </c>
      <c r="D154" s="17">
        <v>5000</v>
      </c>
      <c r="E154" s="17">
        <v>5000</v>
      </c>
      <c r="F154" s="17">
        <v>2500</v>
      </c>
      <c r="G154" s="17">
        <v>0</v>
      </c>
      <c r="H154" s="21"/>
      <c r="I154" s="45" t="s">
        <v>119</v>
      </c>
      <c r="J154" s="43">
        <f>IF(H154&gt;=2,E154,IF(H154=1,F154,IF(H154=0,0)))</f>
        <v>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hidden="1" customHeight="1" x14ac:dyDescent="0.45">
      <c r="A155" s="104">
        <v>4</v>
      </c>
      <c r="B155" s="106" t="s">
        <v>120</v>
      </c>
      <c r="C155" s="17"/>
      <c r="D155" s="17"/>
      <c r="E155" s="107" t="s">
        <v>81</v>
      </c>
      <c r="F155" s="102"/>
      <c r="G155" s="103"/>
      <c r="H155" s="21"/>
      <c r="I155" s="45"/>
      <c r="J155" s="43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hidden="1" customHeight="1" x14ac:dyDescent="0.45">
      <c r="A156" s="105"/>
      <c r="B156" s="105"/>
      <c r="C156" s="24">
        <v>0.05</v>
      </c>
      <c r="D156" s="17">
        <v>5000</v>
      </c>
      <c r="E156" s="23"/>
      <c r="F156" s="23">
        <v>100</v>
      </c>
      <c r="G156" s="23" t="s">
        <v>46</v>
      </c>
      <c r="H156" s="21"/>
      <c r="I156" s="21" t="s">
        <v>46</v>
      </c>
      <c r="J156" s="43">
        <f>H156/F156*D156*100</f>
        <v>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hidden="1" customHeight="1" x14ac:dyDescent="0.45">
      <c r="A157" s="17"/>
      <c r="B157" s="18"/>
      <c r="C157" s="19"/>
      <c r="D157" s="19"/>
      <c r="E157" s="19"/>
      <c r="F157" s="19"/>
      <c r="G157" s="19"/>
      <c r="H157" s="21"/>
      <c r="I157" s="22"/>
      <c r="J157" s="2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hidden="1" customHeight="1" x14ac:dyDescent="0.45">
      <c r="A158" s="17"/>
      <c r="B158" s="18"/>
      <c r="C158" s="24">
        <v>1</v>
      </c>
      <c r="D158" s="17"/>
      <c r="E158" s="17"/>
      <c r="F158" s="17"/>
      <c r="G158" s="17"/>
      <c r="H158" s="21"/>
      <c r="I158" s="22"/>
      <c r="J158" s="2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hidden="1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hidden="1" customHeight="1" x14ac:dyDescent="0.6">
      <c r="A160" s="11"/>
      <c r="B160" s="11"/>
      <c r="C160" s="11"/>
      <c r="D160" s="11"/>
      <c r="E160" s="11"/>
      <c r="F160" s="11"/>
      <c r="G160" s="11"/>
      <c r="H160" s="113" t="s">
        <v>44</v>
      </c>
      <c r="I160" s="114"/>
      <c r="J160" s="46" t="e">
        <f>SUM(J90:J158)</f>
        <v>#DIV/0!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hidden="1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hidden="1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hidden="1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hidden="1" customHeight="1" x14ac:dyDescent="0.5">
      <c r="A164" s="115" t="s">
        <v>50</v>
      </c>
      <c r="B164" s="101"/>
      <c r="C164" s="9"/>
      <c r="D164" s="10"/>
      <c r="E164" s="10"/>
      <c r="F164" s="10"/>
      <c r="G164" s="10"/>
      <c r="H164" s="10"/>
      <c r="I164" s="119">
        <v>44348</v>
      </c>
      <c r="J164" s="114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hidden="1" customHeight="1" x14ac:dyDescent="0.5">
      <c r="A165" s="8" t="s">
        <v>51</v>
      </c>
      <c r="B165" s="8"/>
      <c r="C165" s="8"/>
      <c r="D165" s="10"/>
      <c r="E165" s="10"/>
      <c r="F165" s="10"/>
      <c r="G165" s="10"/>
      <c r="H165" s="10"/>
      <c r="I165" s="10"/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hidden="1" customHeight="1" x14ac:dyDescent="0.4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hidden="1" customHeight="1" x14ac:dyDescent="0.4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hidden="1" customHeight="1" x14ac:dyDescent="0.55000000000000004">
      <c r="A168" s="10"/>
      <c r="B168" s="12" t="s">
        <v>123</v>
      </c>
      <c r="C168" s="10"/>
      <c r="D168" s="10"/>
      <c r="E168" s="10"/>
      <c r="F168" s="10"/>
      <c r="G168" s="10"/>
      <c r="H168" s="10"/>
      <c r="I168" s="10"/>
      <c r="J168" s="1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hidden="1" customHeight="1" x14ac:dyDescent="0.3">
      <c r="A169" s="13" t="s">
        <v>4</v>
      </c>
      <c r="B169" s="13" t="s">
        <v>5</v>
      </c>
      <c r="C169" s="13" t="s">
        <v>6</v>
      </c>
      <c r="D169" s="13" t="s">
        <v>7</v>
      </c>
      <c r="E169" s="14" t="s">
        <v>9</v>
      </c>
      <c r="F169" s="14" t="s">
        <v>47</v>
      </c>
      <c r="G169" s="14" t="s">
        <v>11</v>
      </c>
      <c r="H169" s="15" t="s">
        <v>48</v>
      </c>
      <c r="I169" s="15" t="s">
        <v>11</v>
      </c>
      <c r="J169" s="15" t="s">
        <v>49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hidden="1" customHeight="1" x14ac:dyDescent="0.45">
      <c r="A170" s="17"/>
      <c r="B170" s="18"/>
      <c r="C170" s="19"/>
      <c r="D170" s="19"/>
      <c r="E170" s="20"/>
      <c r="F170" s="20"/>
      <c r="G170" s="20"/>
      <c r="H170" s="21"/>
      <c r="I170" s="21"/>
      <c r="J170" s="2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hidden="1" customHeight="1" x14ac:dyDescent="0.45">
      <c r="A171" s="23"/>
      <c r="B171" s="23" t="s">
        <v>53</v>
      </c>
      <c r="C171" s="20"/>
      <c r="D171" s="19"/>
      <c r="E171" s="20"/>
      <c r="F171" s="20"/>
      <c r="G171" s="20"/>
      <c r="H171" s="21"/>
      <c r="I171" s="21"/>
      <c r="J171" s="2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hidden="1" customHeight="1" x14ac:dyDescent="0.45">
      <c r="A172" s="17">
        <v>1</v>
      </c>
      <c r="B172" s="18" t="s">
        <v>54</v>
      </c>
      <c r="C172" s="24">
        <v>2.5000000000000001E-2</v>
      </c>
      <c r="D172" s="17">
        <v>2500</v>
      </c>
      <c r="E172" s="23">
        <v>96</v>
      </c>
      <c r="F172" s="23">
        <v>0</v>
      </c>
      <c r="G172" s="23" t="s">
        <v>55</v>
      </c>
      <c r="H172" s="21">
        <v>0</v>
      </c>
      <c r="I172" s="21" t="s">
        <v>55</v>
      </c>
      <c r="J172" s="25">
        <v>2500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hidden="1" customHeight="1" x14ac:dyDescent="0.45">
      <c r="A173" s="17">
        <v>2</v>
      </c>
      <c r="B173" s="18" t="s">
        <v>56</v>
      </c>
      <c r="C173" s="24">
        <v>2.5000000000000001E-2</v>
      </c>
      <c r="D173" s="17">
        <v>2500</v>
      </c>
      <c r="E173" s="23">
        <v>96</v>
      </c>
      <c r="F173" s="23">
        <v>0</v>
      </c>
      <c r="G173" s="23" t="s">
        <v>57</v>
      </c>
      <c r="H173" s="21">
        <v>0</v>
      </c>
      <c r="I173" s="21" t="s">
        <v>57</v>
      </c>
      <c r="J173" s="25">
        <v>2500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hidden="1" customHeight="1" x14ac:dyDescent="0.45">
      <c r="A174" s="17"/>
      <c r="B174" s="26">
        <v>0.05</v>
      </c>
      <c r="C174" s="17"/>
      <c r="D174" s="19"/>
      <c r="E174" s="23"/>
      <c r="F174" s="23"/>
      <c r="G174" s="23"/>
      <c r="H174" s="21"/>
      <c r="I174" s="21"/>
      <c r="J174" s="2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hidden="1" customHeight="1" x14ac:dyDescent="0.45">
      <c r="A175" s="23"/>
      <c r="B175" s="23" t="s">
        <v>14</v>
      </c>
      <c r="C175" s="20"/>
      <c r="D175" s="20"/>
      <c r="E175" s="20"/>
      <c r="F175" s="20"/>
      <c r="G175" s="20"/>
      <c r="H175" s="21"/>
      <c r="I175" s="21"/>
      <c r="J175" s="2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hidden="1" customHeight="1" x14ac:dyDescent="0.45">
      <c r="A176" s="17">
        <v>1</v>
      </c>
      <c r="B176" s="27" t="s">
        <v>58</v>
      </c>
      <c r="C176" s="24">
        <v>0.15</v>
      </c>
      <c r="D176" s="17">
        <v>15000</v>
      </c>
      <c r="E176" s="23"/>
      <c r="F176" s="23"/>
      <c r="G176" s="23"/>
      <c r="H176" s="21"/>
      <c r="I176" s="21"/>
      <c r="J176" s="2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hidden="1" customHeight="1" x14ac:dyDescent="0.45">
      <c r="A177" s="17"/>
      <c r="B177" s="28" t="s">
        <v>59</v>
      </c>
      <c r="C177" s="28"/>
      <c r="D177" s="17"/>
      <c r="E177" s="23">
        <v>12</v>
      </c>
      <c r="F177" s="23">
        <v>500</v>
      </c>
      <c r="G177" s="23" t="s">
        <v>45</v>
      </c>
      <c r="H177" s="21"/>
      <c r="I177" s="21" t="s">
        <v>45</v>
      </c>
      <c r="J177" s="25">
        <f t="shared" ref="J177:J182" si="6">H177*E177</f>
        <v>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hidden="1" customHeight="1" x14ac:dyDescent="0.45">
      <c r="A178" s="17"/>
      <c r="B178" s="28" t="s">
        <v>60</v>
      </c>
      <c r="C178" s="28"/>
      <c r="D178" s="17"/>
      <c r="E178" s="23">
        <v>20</v>
      </c>
      <c r="F178" s="23">
        <v>500</v>
      </c>
      <c r="G178" s="23" t="s">
        <v>45</v>
      </c>
      <c r="H178" s="21"/>
      <c r="I178" s="21" t="s">
        <v>45</v>
      </c>
      <c r="J178" s="25">
        <f t="shared" si="6"/>
        <v>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hidden="1" customHeight="1" x14ac:dyDescent="0.45">
      <c r="A179" s="17"/>
      <c r="B179" s="28" t="s">
        <v>61</v>
      </c>
      <c r="C179" s="28"/>
      <c r="D179" s="17"/>
      <c r="E179" s="23">
        <v>21</v>
      </c>
      <c r="F179" s="23">
        <v>500</v>
      </c>
      <c r="G179" s="23" t="s">
        <v>45</v>
      </c>
      <c r="H179" s="21"/>
      <c r="I179" s="21" t="s">
        <v>45</v>
      </c>
      <c r="J179" s="25">
        <f t="shared" si="6"/>
        <v>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hidden="1" customHeight="1" x14ac:dyDescent="0.45">
      <c r="A180" s="17"/>
      <c r="B180" s="28" t="s">
        <v>62</v>
      </c>
      <c r="C180" s="28"/>
      <c r="D180" s="17"/>
      <c r="E180" s="23">
        <v>10</v>
      </c>
      <c r="F180" s="23">
        <v>500</v>
      </c>
      <c r="G180" s="23" t="s">
        <v>45</v>
      </c>
      <c r="H180" s="21"/>
      <c r="I180" s="21" t="s">
        <v>45</v>
      </c>
      <c r="J180" s="25">
        <f t="shared" si="6"/>
        <v>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hidden="1" customHeight="1" x14ac:dyDescent="0.45">
      <c r="A181" s="17"/>
      <c r="B181" s="28" t="s">
        <v>64</v>
      </c>
      <c r="C181" s="28"/>
      <c r="D181" s="17"/>
      <c r="E181" s="23">
        <v>10</v>
      </c>
      <c r="F181" s="23">
        <v>500</v>
      </c>
      <c r="G181" s="23" t="s">
        <v>45</v>
      </c>
      <c r="H181" s="21"/>
      <c r="I181" s="21" t="s">
        <v>45</v>
      </c>
      <c r="J181" s="25">
        <f t="shared" si="6"/>
        <v>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hidden="1" customHeight="1" x14ac:dyDescent="0.45">
      <c r="A182" s="17"/>
      <c r="B182" s="28" t="s">
        <v>65</v>
      </c>
      <c r="C182" s="28"/>
      <c r="D182" s="17"/>
      <c r="E182" s="23">
        <v>20</v>
      </c>
      <c r="F182" s="23">
        <v>500</v>
      </c>
      <c r="G182" s="23" t="s">
        <v>45</v>
      </c>
      <c r="H182" s="21"/>
      <c r="I182" s="21" t="s">
        <v>45</v>
      </c>
      <c r="J182" s="25">
        <f t="shared" si="6"/>
        <v>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hidden="1" customHeight="1" x14ac:dyDescent="0.45">
      <c r="A183" s="30"/>
      <c r="B183" s="31"/>
      <c r="C183" s="31"/>
      <c r="D183" s="30"/>
      <c r="E183" s="30"/>
      <c r="F183" s="30"/>
      <c r="G183" s="30"/>
      <c r="H183" s="32"/>
      <c r="I183" s="32"/>
      <c r="J183" s="3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hidden="1" customHeight="1" x14ac:dyDescent="0.45">
      <c r="A184" s="17"/>
      <c r="B184" s="28" t="s">
        <v>66</v>
      </c>
      <c r="C184" s="28"/>
      <c r="D184" s="19"/>
      <c r="E184" s="23">
        <v>6</v>
      </c>
      <c r="F184" s="23">
        <v>5000</v>
      </c>
      <c r="G184" s="23" t="s">
        <v>45</v>
      </c>
      <c r="H184" s="21"/>
      <c r="I184" s="21" t="s">
        <v>45</v>
      </c>
      <c r="J184" s="25">
        <f t="shared" ref="J184:J197" si="7">H184*E184</f>
        <v>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hidden="1" customHeight="1" x14ac:dyDescent="0.45">
      <c r="A185" s="17"/>
      <c r="B185" s="28" t="s">
        <v>67</v>
      </c>
      <c r="C185" s="28"/>
      <c r="D185" s="19"/>
      <c r="E185" s="23">
        <v>10</v>
      </c>
      <c r="F185" s="23">
        <v>2500</v>
      </c>
      <c r="G185" s="23" t="s">
        <v>45</v>
      </c>
      <c r="H185" s="21"/>
      <c r="I185" s="21" t="s">
        <v>45</v>
      </c>
      <c r="J185" s="25">
        <f t="shared" si="7"/>
        <v>0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hidden="1" customHeight="1" x14ac:dyDescent="0.45">
      <c r="A186" s="17"/>
      <c r="B186" s="28" t="s">
        <v>68</v>
      </c>
      <c r="C186" s="28"/>
      <c r="D186" s="19"/>
      <c r="E186" s="23">
        <v>25</v>
      </c>
      <c r="F186" s="23">
        <v>1000</v>
      </c>
      <c r="G186" s="23" t="s">
        <v>45</v>
      </c>
      <c r="H186" s="21"/>
      <c r="I186" s="21" t="s">
        <v>45</v>
      </c>
      <c r="J186" s="25">
        <f t="shared" si="7"/>
        <v>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hidden="1" customHeight="1" x14ac:dyDescent="0.45">
      <c r="A187" s="17"/>
      <c r="B187" s="28" t="s">
        <v>69</v>
      </c>
      <c r="C187" s="28"/>
      <c r="D187" s="19"/>
      <c r="E187" s="23">
        <v>6</v>
      </c>
      <c r="F187" s="23">
        <v>5000</v>
      </c>
      <c r="G187" s="23" t="s">
        <v>45</v>
      </c>
      <c r="H187" s="21"/>
      <c r="I187" s="21" t="s">
        <v>45</v>
      </c>
      <c r="J187" s="25">
        <f t="shared" si="7"/>
        <v>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hidden="1" customHeight="1" x14ac:dyDescent="0.45">
      <c r="A188" s="17"/>
      <c r="B188" s="28" t="s">
        <v>70</v>
      </c>
      <c r="C188" s="28"/>
      <c r="D188" s="19"/>
      <c r="E188" s="23">
        <v>10</v>
      </c>
      <c r="F188" s="23">
        <v>2500</v>
      </c>
      <c r="G188" s="23" t="s">
        <v>45</v>
      </c>
      <c r="H188" s="21"/>
      <c r="I188" s="21" t="s">
        <v>45</v>
      </c>
      <c r="J188" s="25">
        <f t="shared" si="7"/>
        <v>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hidden="1" customHeight="1" x14ac:dyDescent="0.45">
      <c r="A189" s="17"/>
      <c r="B189" s="28" t="s">
        <v>71</v>
      </c>
      <c r="C189" s="28"/>
      <c r="D189" s="19"/>
      <c r="E189" s="23">
        <v>10</v>
      </c>
      <c r="F189" s="23">
        <v>2500</v>
      </c>
      <c r="G189" s="23" t="s">
        <v>45</v>
      </c>
      <c r="H189" s="21"/>
      <c r="I189" s="21" t="s">
        <v>45</v>
      </c>
      <c r="J189" s="25">
        <f t="shared" si="7"/>
        <v>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hidden="1" customHeight="1" x14ac:dyDescent="0.45">
      <c r="A190" s="17"/>
      <c r="B190" s="28" t="s">
        <v>72</v>
      </c>
      <c r="C190" s="28"/>
      <c r="D190" s="19"/>
      <c r="E190" s="23">
        <v>6</v>
      </c>
      <c r="F190" s="23">
        <v>5000</v>
      </c>
      <c r="G190" s="23" t="s">
        <v>45</v>
      </c>
      <c r="H190" s="21"/>
      <c r="I190" s="21" t="s">
        <v>45</v>
      </c>
      <c r="J190" s="25">
        <f t="shared" si="7"/>
        <v>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hidden="1" customHeight="1" x14ac:dyDescent="0.45">
      <c r="A191" s="17"/>
      <c r="B191" s="28" t="s">
        <v>73</v>
      </c>
      <c r="C191" s="28"/>
      <c r="D191" s="19"/>
      <c r="E191" s="23">
        <v>20</v>
      </c>
      <c r="F191" s="23">
        <v>1200</v>
      </c>
      <c r="G191" s="23" t="s">
        <v>45</v>
      </c>
      <c r="H191" s="21"/>
      <c r="I191" s="21" t="s">
        <v>45</v>
      </c>
      <c r="J191" s="25">
        <f t="shared" si="7"/>
        <v>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hidden="1" customHeight="1" x14ac:dyDescent="0.45">
      <c r="A192" s="17"/>
      <c r="B192" s="28" t="s">
        <v>74</v>
      </c>
      <c r="C192" s="28"/>
      <c r="D192" s="19"/>
      <c r="E192" s="23">
        <v>6</v>
      </c>
      <c r="F192" s="23">
        <v>5000</v>
      </c>
      <c r="G192" s="23" t="s">
        <v>45</v>
      </c>
      <c r="H192" s="21"/>
      <c r="I192" s="21" t="s">
        <v>45</v>
      </c>
      <c r="J192" s="25">
        <f t="shared" si="7"/>
        <v>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hidden="1" customHeight="1" x14ac:dyDescent="0.45">
      <c r="A193" s="17"/>
      <c r="B193" s="28" t="s">
        <v>75</v>
      </c>
      <c r="C193" s="28"/>
      <c r="D193" s="19"/>
      <c r="E193" s="23">
        <v>12</v>
      </c>
      <c r="F193" s="23">
        <v>2000</v>
      </c>
      <c r="G193" s="23" t="s">
        <v>45</v>
      </c>
      <c r="H193" s="21"/>
      <c r="I193" s="21" t="s">
        <v>45</v>
      </c>
      <c r="J193" s="25">
        <f t="shared" si="7"/>
        <v>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hidden="1" customHeight="1" x14ac:dyDescent="0.45">
      <c r="A194" s="17"/>
      <c r="B194" s="28" t="s">
        <v>76</v>
      </c>
      <c r="C194" s="28"/>
      <c r="D194" s="19"/>
      <c r="E194" s="23">
        <v>5</v>
      </c>
      <c r="F194" s="23">
        <v>7000</v>
      </c>
      <c r="G194" s="23" t="s">
        <v>45</v>
      </c>
      <c r="H194" s="21"/>
      <c r="I194" s="21" t="s">
        <v>45</v>
      </c>
      <c r="J194" s="25">
        <f t="shared" si="7"/>
        <v>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hidden="1" customHeight="1" x14ac:dyDescent="0.45">
      <c r="A195" s="17"/>
      <c r="B195" s="28" t="s">
        <v>77</v>
      </c>
      <c r="C195" s="28"/>
      <c r="D195" s="19"/>
      <c r="E195" s="23">
        <v>25</v>
      </c>
      <c r="F195" s="23">
        <v>1000</v>
      </c>
      <c r="G195" s="23" t="s">
        <v>45</v>
      </c>
      <c r="H195" s="21"/>
      <c r="I195" s="21" t="s">
        <v>45</v>
      </c>
      <c r="J195" s="25">
        <f t="shared" si="7"/>
        <v>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hidden="1" customHeight="1" x14ac:dyDescent="0.45">
      <c r="A196" s="17"/>
      <c r="B196" s="28" t="s">
        <v>78</v>
      </c>
      <c r="C196" s="28"/>
      <c r="D196" s="19"/>
      <c r="E196" s="23">
        <v>5</v>
      </c>
      <c r="F196" s="23">
        <v>7000</v>
      </c>
      <c r="G196" s="23" t="s">
        <v>45</v>
      </c>
      <c r="H196" s="21"/>
      <c r="I196" s="21" t="s">
        <v>45</v>
      </c>
      <c r="J196" s="25">
        <f t="shared" si="7"/>
        <v>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hidden="1" customHeight="1" x14ac:dyDescent="0.45">
      <c r="A197" s="17"/>
      <c r="B197" s="28" t="s">
        <v>79</v>
      </c>
      <c r="C197" s="28"/>
      <c r="D197" s="19"/>
      <c r="E197" s="23">
        <v>20</v>
      </c>
      <c r="F197" s="23">
        <v>1200</v>
      </c>
      <c r="G197" s="23" t="s">
        <v>45</v>
      </c>
      <c r="H197" s="21"/>
      <c r="I197" s="21" t="s">
        <v>45</v>
      </c>
      <c r="J197" s="25">
        <f t="shared" si="7"/>
        <v>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hidden="1" customHeight="1" x14ac:dyDescent="0.45">
      <c r="A198" s="17"/>
      <c r="B198" s="28"/>
      <c r="C198" s="28"/>
      <c r="D198" s="19"/>
      <c r="E198" s="23"/>
      <c r="F198" s="23"/>
      <c r="G198" s="23"/>
      <c r="H198" s="21">
        <f>SUM(H177:H197)</f>
        <v>0</v>
      </c>
      <c r="I198" s="21"/>
      <c r="J198" s="25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hidden="1" customHeight="1" x14ac:dyDescent="0.45">
      <c r="A199" s="109">
        <v>2</v>
      </c>
      <c r="B199" s="110" t="s">
        <v>80</v>
      </c>
      <c r="C199" s="19"/>
      <c r="D199" s="17"/>
      <c r="E199" s="107" t="s">
        <v>81</v>
      </c>
      <c r="F199" s="102"/>
      <c r="G199" s="103"/>
      <c r="H199" s="21"/>
      <c r="I199" s="21"/>
      <c r="J199" s="2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hidden="1" customHeight="1" x14ac:dyDescent="0.45">
      <c r="A200" s="105"/>
      <c r="B200" s="105"/>
      <c r="C200" s="24">
        <v>0.1</v>
      </c>
      <c r="D200" s="17">
        <v>10000</v>
      </c>
      <c r="E200" s="23"/>
      <c r="F200" s="23">
        <v>100</v>
      </c>
      <c r="G200" s="23" t="s">
        <v>46</v>
      </c>
      <c r="H200" s="21"/>
      <c r="I200" s="21" t="s">
        <v>46</v>
      </c>
      <c r="J200" s="25">
        <f>(H200/F200)*D200</f>
        <v>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hidden="1" customHeight="1" x14ac:dyDescent="0.45">
      <c r="A201" s="17"/>
      <c r="B201" s="18"/>
      <c r="C201" s="17"/>
      <c r="D201" s="17"/>
      <c r="E201" s="23"/>
      <c r="F201" s="23"/>
      <c r="G201" s="23"/>
      <c r="H201" s="21"/>
      <c r="I201" s="21"/>
      <c r="J201" s="25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hidden="1" customHeight="1" x14ac:dyDescent="0.45">
      <c r="A202" s="33">
        <v>3</v>
      </c>
      <c r="B202" s="34" t="s">
        <v>82</v>
      </c>
      <c r="C202" s="24">
        <v>0.2</v>
      </c>
      <c r="D202" s="17">
        <v>20000</v>
      </c>
      <c r="E202" s="23"/>
      <c r="F202" s="23"/>
      <c r="G202" s="23"/>
      <c r="H202" s="21"/>
      <c r="I202" s="21"/>
      <c r="J202" s="25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hidden="1" customHeight="1" x14ac:dyDescent="0.45">
      <c r="A203" s="17"/>
      <c r="B203" s="35" t="s">
        <v>83</v>
      </c>
      <c r="C203" s="36"/>
      <c r="D203" s="17"/>
      <c r="E203" s="23">
        <v>40</v>
      </c>
      <c r="F203" s="23">
        <v>500</v>
      </c>
      <c r="G203" s="23"/>
      <c r="H203" s="21"/>
      <c r="I203" s="21" t="s">
        <v>45</v>
      </c>
      <c r="J203" s="25">
        <f t="shared" ref="J203:J205" si="8">IF(H203&lt;=500,(H203*E203),IF(H203&gt;500,20000))</f>
        <v>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hidden="1" customHeight="1" x14ac:dyDescent="0.45">
      <c r="A204" s="17"/>
      <c r="B204" s="35" t="s">
        <v>84</v>
      </c>
      <c r="C204" s="36"/>
      <c r="D204" s="17"/>
      <c r="E204" s="23">
        <v>40</v>
      </c>
      <c r="F204" s="23">
        <v>500</v>
      </c>
      <c r="G204" s="23"/>
      <c r="H204" s="21"/>
      <c r="I204" s="21" t="s">
        <v>45</v>
      </c>
      <c r="J204" s="25">
        <f t="shared" si="8"/>
        <v>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hidden="1" customHeight="1" x14ac:dyDescent="0.45">
      <c r="A205" s="17"/>
      <c r="B205" s="35" t="s">
        <v>85</v>
      </c>
      <c r="C205" s="36"/>
      <c r="D205" s="17"/>
      <c r="E205" s="23">
        <v>40</v>
      </c>
      <c r="F205" s="23">
        <v>500</v>
      </c>
      <c r="G205" s="23"/>
      <c r="H205" s="21"/>
      <c r="I205" s="21" t="s">
        <v>45</v>
      </c>
      <c r="J205" s="25">
        <f t="shared" si="8"/>
        <v>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hidden="1" customHeight="1" x14ac:dyDescent="0.45">
      <c r="A206" s="17"/>
      <c r="B206" s="35"/>
      <c r="C206" s="36"/>
      <c r="D206" s="17"/>
      <c r="E206" s="23"/>
      <c r="F206" s="23"/>
      <c r="G206" s="23"/>
      <c r="H206" s="21"/>
      <c r="I206" s="21"/>
      <c r="J206" s="25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hidden="1" customHeight="1" x14ac:dyDescent="0.45">
      <c r="A207" s="33">
        <v>4</v>
      </c>
      <c r="B207" s="37" t="s">
        <v>86</v>
      </c>
      <c r="C207" s="24">
        <v>0.05</v>
      </c>
      <c r="D207" s="17">
        <v>5000</v>
      </c>
      <c r="E207" s="23"/>
      <c r="F207" s="23">
        <v>30</v>
      </c>
      <c r="G207" s="23" t="s">
        <v>46</v>
      </c>
      <c r="H207" s="21"/>
      <c r="I207" s="21" t="s">
        <v>46</v>
      </c>
      <c r="J207" s="29" t="e">
        <f>IF(H207&lt;=30,(F207/H207)*5000/100,IF(H207&gt;30,0))</f>
        <v>#DIV/0!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hidden="1" customHeight="1" x14ac:dyDescent="0.45">
      <c r="A208" s="17"/>
      <c r="B208" s="27" t="s">
        <v>61</v>
      </c>
      <c r="C208" s="36"/>
      <c r="D208" s="17"/>
      <c r="E208" s="23"/>
      <c r="F208" s="23"/>
      <c r="G208" s="23"/>
      <c r="H208" s="21"/>
      <c r="I208" s="21"/>
      <c r="J208" s="25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hidden="1" customHeight="1" x14ac:dyDescent="0.45">
      <c r="A209" s="17"/>
      <c r="B209" s="27"/>
      <c r="C209" s="36"/>
      <c r="D209" s="17"/>
      <c r="E209" s="23"/>
      <c r="F209" s="23"/>
      <c r="G209" s="23"/>
      <c r="H209" s="21"/>
      <c r="I209" s="21"/>
      <c r="J209" s="25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hidden="1" customHeight="1" x14ac:dyDescent="0.45">
      <c r="A210" s="109">
        <v>5</v>
      </c>
      <c r="B210" s="111" t="s">
        <v>87</v>
      </c>
      <c r="C210" s="17"/>
      <c r="D210" s="17"/>
      <c r="E210" s="112" t="s">
        <v>81</v>
      </c>
      <c r="F210" s="102"/>
      <c r="G210" s="103"/>
      <c r="H210" s="21"/>
      <c r="I210" s="21"/>
      <c r="J210" s="2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hidden="1" customHeight="1" x14ac:dyDescent="0.45">
      <c r="A211" s="105"/>
      <c r="B211" s="105"/>
      <c r="C211" s="24">
        <v>0.1</v>
      </c>
      <c r="D211" s="17">
        <v>10000</v>
      </c>
      <c r="E211" s="23"/>
      <c r="F211" s="23">
        <v>100</v>
      </c>
      <c r="G211" s="23" t="s">
        <v>46</v>
      </c>
      <c r="H211" s="21"/>
      <c r="I211" s="21" t="s">
        <v>46</v>
      </c>
      <c r="J211" s="25">
        <f>(H211/F211)*D211</f>
        <v>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hidden="1" customHeight="1" x14ac:dyDescent="0.45">
      <c r="A212" s="17"/>
      <c r="B212" s="38"/>
      <c r="C212" s="19"/>
      <c r="D212" s="17"/>
      <c r="E212" s="23"/>
      <c r="F212" s="23"/>
      <c r="G212" s="23"/>
      <c r="H212" s="21"/>
      <c r="I212" s="21"/>
      <c r="J212" s="25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hidden="1" customHeight="1" x14ac:dyDescent="0.45">
      <c r="A213" s="17"/>
      <c r="B213" s="38"/>
      <c r="C213" s="19"/>
      <c r="D213" s="17"/>
      <c r="E213" s="23"/>
      <c r="F213" s="23"/>
      <c r="G213" s="23"/>
      <c r="H213" s="21"/>
      <c r="I213" s="21"/>
      <c r="J213" s="25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hidden="1" customHeight="1" x14ac:dyDescent="0.45">
      <c r="A214" s="33">
        <v>6</v>
      </c>
      <c r="B214" s="37" t="s">
        <v>88</v>
      </c>
      <c r="C214" s="24">
        <v>0.05</v>
      </c>
      <c r="D214" s="17">
        <v>5000</v>
      </c>
      <c r="E214" s="23"/>
      <c r="F214" s="23"/>
      <c r="G214" s="23"/>
      <c r="H214" s="21"/>
      <c r="I214" s="21"/>
      <c r="J214" s="2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hidden="1" customHeight="1" x14ac:dyDescent="0.45">
      <c r="A215" s="17"/>
      <c r="B215" s="39"/>
      <c r="C215" s="117" t="s">
        <v>89</v>
      </c>
      <c r="D215" s="17"/>
      <c r="E215" s="23" t="s">
        <v>90</v>
      </c>
      <c r="F215" s="23" t="s">
        <v>91</v>
      </c>
      <c r="G215" s="23" t="s">
        <v>92</v>
      </c>
      <c r="H215" s="21"/>
      <c r="I215" s="21"/>
      <c r="J215" s="25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hidden="1" customHeight="1" x14ac:dyDescent="0.45">
      <c r="A216" s="17"/>
      <c r="B216" s="39"/>
      <c r="C216" s="118"/>
      <c r="D216" s="17"/>
      <c r="E216" s="23" t="s">
        <v>93</v>
      </c>
      <c r="F216" s="23" t="s">
        <v>94</v>
      </c>
      <c r="G216" s="23" t="s">
        <v>95</v>
      </c>
      <c r="H216" s="21"/>
      <c r="I216" s="21"/>
      <c r="J216" s="25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hidden="1" customHeight="1" x14ac:dyDescent="0.45">
      <c r="A217" s="17"/>
      <c r="B217" s="39"/>
      <c r="C217" s="105"/>
      <c r="D217" s="40">
        <v>2000</v>
      </c>
      <c r="E217" s="23">
        <v>2000</v>
      </c>
      <c r="F217" s="23">
        <v>1333</v>
      </c>
      <c r="G217" s="23">
        <v>667</v>
      </c>
      <c r="H217" s="21"/>
      <c r="I217" s="21" t="s">
        <v>96</v>
      </c>
      <c r="J217" s="25">
        <f>IF(H217=0,0,IF(H217&gt;4,E217,IF(H217&gt;=3,F217,IF(H217&lt;=2,G217))))</f>
        <v>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hidden="1" customHeight="1" x14ac:dyDescent="0.45">
      <c r="A218" s="17"/>
      <c r="B218" s="39"/>
      <c r="C218" s="117" t="s">
        <v>97</v>
      </c>
      <c r="D218" s="17"/>
      <c r="E218" s="23" t="s">
        <v>90</v>
      </c>
      <c r="F218" s="23" t="s">
        <v>91</v>
      </c>
      <c r="G218" s="23" t="s">
        <v>92</v>
      </c>
      <c r="H218" s="21"/>
      <c r="I218" s="21"/>
      <c r="J218" s="25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hidden="1" customHeight="1" x14ac:dyDescent="0.45">
      <c r="A219" s="17"/>
      <c r="B219" s="39"/>
      <c r="C219" s="118"/>
      <c r="D219" s="17"/>
      <c r="E219" s="23" t="s">
        <v>98</v>
      </c>
      <c r="F219" s="23" t="s">
        <v>99</v>
      </c>
      <c r="G219" s="23" t="s">
        <v>100</v>
      </c>
      <c r="H219" s="21"/>
      <c r="I219" s="21"/>
      <c r="J219" s="25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hidden="1" customHeight="1" x14ac:dyDescent="0.45">
      <c r="A220" s="17"/>
      <c r="B220" s="39"/>
      <c r="C220" s="105"/>
      <c r="D220" s="40">
        <v>1000</v>
      </c>
      <c r="E220" s="23">
        <v>1000</v>
      </c>
      <c r="F220" s="23">
        <v>667</v>
      </c>
      <c r="G220" s="23">
        <v>333</v>
      </c>
      <c r="H220" s="21">
        <f ca="1">IFERROR(__xludf.DUMMYFUNCTION("IMPORTRANGE(""https://docs.google.com/spreadsheets/d/1ovqzdhuFiNSt4UUg9XvoF-8KzIJFrt5hLBRK39dlPfY/edit"",""Tedy- Mar!E23"")"),0)</f>
        <v>0</v>
      </c>
      <c r="I220" s="21" t="s">
        <v>101</v>
      </c>
      <c r="J220" s="25">
        <f ca="1">IF(H220=0,0,IF(H220&gt;=20,E220,IF(H220&gt;=10,F220,IF(H220&lt;=9,G220))))</f>
        <v>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hidden="1" customHeight="1" x14ac:dyDescent="0.45">
      <c r="A221" s="17"/>
      <c r="B221" s="39"/>
      <c r="C221" s="117" t="s">
        <v>102</v>
      </c>
      <c r="D221" s="17"/>
      <c r="E221" s="23" t="s">
        <v>90</v>
      </c>
      <c r="F221" s="23" t="s">
        <v>91</v>
      </c>
      <c r="G221" s="23" t="s">
        <v>92</v>
      </c>
      <c r="H221" s="21"/>
      <c r="I221" s="21"/>
      <c r="J221" s="25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hidden="1" customHeight="1" x14ac:dyDescent="0.45">
      <c r="A222" s="17"/>
      <c r="B222" s="39"/>
      <c r="C222" s="118"/>
      <c r="D222" s="17"/>
      <c r="E222" s="23" t="s">
        <v>103</v>
      </c>
      <c r="F222" s="23" t="s">
        <v>104</v>
      </c>
      <c r="G222" s="23" t="s">
        <v>105</v>
      </c>
      <c r="H222" s="21"/>
      <c r="I222" s="21"/>
      <c r="J222" s="25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hidden="1" customHeight="1" x14ac:dyDescent="0.45">
      <c r="A223" s="17"/>
      <c r="B223" s="39"/>
      <c r="C223" s="105"/>
      <c r="D223" s="40">
        <v>2000</v>
      </c>
      <c r="E223" s="23">
        <v>2000</v>
      </c>
      <c r="F223" s="23">
        <v>1333</v>
      </c>
      <c r="G223" s="23">
        <v>667</v>
      </c>
      <c r="H223" s="47">
        <f ca="1">IFERROR(__xludf.DUMMYFUNCTION("IMPORTRANGE(""https://docs.google.com/spreadsheets/d/1ovqzdhuFiNSt4UUg9XvoF-8KzIJFrt5hLBRK39dlPfY/edit"",""Tedy- Mar!I23"")"),0)</f>
        <v>0</v>
      </c>
      <c r="I223" s="21" t="s">
        <v>106</v>
      </c>
      <c r="J223" s="22">
        <f ca="1">IF(H223=0,0,IF(H223&gt;=3,E223,IF(H223=2,F223,IF(H223=1,G223))))</f>
        <v>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hidden="1" customHeight="1" x14ac:dyDescent="0.45">
      <c r="A224" s="17"/>
      <c r="B224" s="39"/>
      <c r="C224" s="28"/>
      <c r="D224" s="17"/>
      <c r="E224" s="23"/>
      <c r="F224" s="23"/>
      <c r="G224" s="23"/>
      <c r="H224" s="41"/>
      <c r="I224" s="21"/>
      <c r="J224" s="2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hidden="1" customHeight="1" x14ac:dyDescent="0.45">
      <c r="A225" s="33">
        <v>7</v>
      </c>
      <c r="B225" s="37" t="s">
        <v>107</v>
      </c>
      <c r="C225" s="24">
        <v>0.1</v>
      </c>
      <c r="D225" s="17">
        <v>10000</v>
      </c>
      <c r="E225" s="23">
        <v>2</v>
      </c>
      <c r="F225" s="23">
        <v>5000</v>
      </c>
      <c r="G225" s="23" t="s">
        <v>45</v>
      </c>
      <c r="H225" s="41"/>
      <c r="I225" s="21" t="s">
        <v>45</v>
      </c>
      <c r="J225" s="25">
        <f>H225*E225</f>
        <v>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hidden="1" customHeight="1" x14ac:dyDescent="0.45">
      <c r="A226" s="17"/>
      <c r="B226" s="39"/>
      <c r="C226" s="19"/>
      <c r="D226" s="19"/>
      <c r="E226" s="20"/>
      <c r="F226" s="20"/>
      <c r="G226" s="20"/>
      <c r="H226" s="41"/>
      <c r="I226" s="21"/>
      <c r="J226" s="2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hidden="1" customHeight="1" x14ac:dyDescent="0.45">
      <c r="A227" s="17"/>
      <c r="B227" s="42"/>
      <c r="C227" s="17"/>
      <c r="D227" s="17"/>
      <c r="E227" s="23" t="s">
        <v>90</v>
      </c>
      <c r="F227" s="23" t="s">
        <v>91</v>
      </c>
      <c r="G227" s="23" t="s">
        <v>92</v>
      </c>
      <c r="H227" s="21"/>
      <c r="I227" s="21"/>
      <c r="J227" s="2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hidden="1" customHeight="1" x14ac:dyDescent="0.45">
      <c r="A228" s="23"/>
      <c r="B228" s="23" t="s">
        <v>108</v>
      </c>
      <c r="C228" s="20"/>
      <c r="D228" s="20"/>
      <c r="E228" s="23">
        <v>5000</v>
      </c>
      <c r="F228" s="23">
        <v>3333</v>
      </c>
      <c r="G228" s="23">
        <v>1667</v>
      </c>
      <c r="H228" s="21"/>
      <c r="I228" s="22"/>
      <c r="J228" s="22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hidden="1" customHeight="1" x14ac:dyDescent="0.45">
      <c r="A229" s="104">
        <v>1</v>
      </c>
      <c r="B229" s="106" t="s">
        <v>109</v>
      </c>
      <c r="C229" s="19"/>
      <c r="D229" s="19"/>
      <c r="E229" s="17" t="s">
        <v>110</v>
      </c>
      <c r="F229" s="17" t="s">
        <v>111</v>
      </c>
      <c r="G229" s="17" t="s">
        <v>112</v>
      </c>
      <c r="H229" s="21"/>
      <c r="I229" s="22"/>
      <c r="J229" s="22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hidden="1" customHeight="1" x14ac:dyDescent="0.45">
      <c r="A230" s="105"/>
      <c r="B230" s="105"/>
      <c r="C230" s="24">
        <v>0.05</v>
      </c>
      <c r="D230" s="17">
        <v>5000</v>
      </c>
      <c r="E230" s="17">
        <v>5000</v>
      </c>
      <c r="F230" s="17">
        <v>3333</v>
      </c>
      <c r="G230" s="17">
        <v>1667</v>
      </c>
      <c r="H230" s="21"/>
      <c r="I230" s="21" t="s">
        <v>113</v>
      </c>
      <c r="J230" s="43">
        <f>IF(H230&gt;=15,E230,IF(H230&gt;=8,F230,IF(H230&gt;=2,G230,IF(H230&lt;2,0))))</f>
        <v>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hidden="1" customHeight="1" x14ac:dyDescent="0.45">
      <c r="A231" s="104">
        <v>2</v>
      </c>
      <c r="B231" s="106" t="s">
        <v>114</v>
      </c>
      <c r="C231" s="17"/>
      <c r="D231" s="17"/>
      <c r="E231" s="107" t="s">
        <v>81</v>
      </c>
      <c r="F231" s="102"/>
      <c r="G231" s="103"/>
      <c r="H231" s="21"/>
      <c r="I231" s="21"/>
      <c r="J231" s="44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hidden="1" customHeight="1" x14ac:dyDescent="0.45">
      <c r="A232" s="105"/>
      <c r="B232" s="105"/>
      <c r="C232" s="24">
        <v>0.05</v>
      </c>
      <c r="D232" s="17">
        <v>5000</v>
      </c>
      <c r="E232" s="23"/>
      <c r="F232" s="23">
        <v>100</v>
      </c>
      <c r="G232" s="23" t="s">
        <v>46</v>
      </c>
      <c r="H232" s="21"/>
      <c r="I232" s="21" t="s">
        <v>46</v>
      </c>
      <c r="J232" s="43">
        <f>H232/F232*D232*100</f>
        <v>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hidden="1" customHeight="1" x14ac:dyDescent="0.45">
      <c r="A233" s="104">
        <v>3</v>
      </c>
      <c r="B233" s="108" t="s">
        <v>115</v>
      </c>
      <c r="C233" s="17"/>
      <c r="D233" s="17"/>
      <c r="E233" s="17" t="s">
        <v>116</v>
      </c>
      <c r="F233" s="17" t="s">
        <v>117</v>
      </c>
      <c r="G233" s="17" t="s">
        <v>118</v>
      </c>
      <c r="H233" s="21"/>
      <c r="I233" s="45"/>
      <c r="J233" s="44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hidden="1" customHeight="1" x14ac:dyDescent="0.45">
      <c r="A234" s="105"/>
      <c r="B234" s="105"/>
      <c r="C234" s="24">
        <v>0.05</v>
      </c>
      <c r="D234" s="17">
        <v>5000</v>
      </c>
      <c r="E234" s="17">
        <v>5000</v>
      </c>
      <c r="F234" s="17">
        <v>2500</v>
      </c>
      <c r="G234" s="17">
        <v>0</v>
      </c>
      <c r="H234" s="21"/>
      <c r="I234" s="45" t="s">
        <v>119</v>
      </c>
      <c r="J234" s="43">
        <f>IF(H234&gt;=2,E234,IF(H234=1,F234,IF(H234=0,0)))</f>
        <v>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hidden="1" customHeight="1" x14ac:dyDescent="0.45">
      <c r="A235" s="104">
        <v>4</v>
      </c>
      <c r="B235" s="106" t="s">
        <v>120</v>
      </c>
      <c r="C235" s="17"/>
      <c r="D235" s="17"/>
      <c r="E235" s="107" t="s">
        <v>81</v>
      </c>
      <c r="F235" s="102"/>
      <c r="G235" s="103"/>
      <c r="H235" s="21"/>
      <c r="I235" s="45"/>
      <c r="J235" s="43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hidden="1" customHeight="1" x14ac:dyDescent="0.45">
      <c r="A236" s="105"/>
      <c r="B236" s="105"/>
      <c r="C236" s="24">
        <v>0.05</v>
      </c>
      <c r="D236" s="17">
        <v>5000</v>
      </c>
      <c r="E236" s="23"/>
      <c r="F236" s="23">
        <v>100</v>
      </c>
      <c r="G236" s="23" t="s">
        <v>46</v>
      </c>
      <c r="H236" s="21"/>
      <c r="I236" s="21" t="s">
        <v>46</v>
      </c>
      <c r="J236" s="43">
        <f>H236/F236*D236*100</f>
        <v>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hidden="1" customHeight="1" x14ac:dyDescent="0.45">
      <c r="A237" s="17"/>
      <c r="B237" s="18"/>
      <c r="C237" s="19"/>
      <c r="D237" s="19"/>
      <c r="E237" s="19"/>
      <c r="F237" s="19"/>
      <c r="G237" s="19"/>
      <c r="H237" s="21"/>
      <c r="I237" s="22"/>
      <c r="J237" s="2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hidden="1" customHeight="1" x14ac:dyDescent="0.45">
      <c r="A238" s="17"/>
      <c r="B238" s="18"/>
      <c r="C238" s="24">
        <v>1</v>
      </c>
      <c r="D238" s="17"/>
      <c r="E238" s="17"/>
      <c r="F238" s="17"/>
      <c r="G238" s="17"/>
      <c r="H238" s="21"/>
      <c r="I238" s="22"/>
      <c r="J238" s="22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hidden="1" customHeigh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hidden="1" customHeight="1" x14ac:dyDescent="0.6">
      <c r="A240" s="11"/>
      <c r="B240" s="11"/>
      <c r="C240" s="11"/>
      <c r="D240" s="11"/>
      <c r="E240" s="11"/>
      <c r="F240" s="11"/>
      <c r="G240" s="11"/>
      <c r="H240" s="113" t="s">
        <v>44</v>
      </c>
      <c r="I240" s="114"/>
      <c r="J240" s="49" t="e">
        <f>SUM(J172:J238)</f>
        <v>#DIV/0!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hidden="1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5">
      <c r="A243" s="115" t="s">
        <v>50</v>
      </c>
      <c r="B243" s="101"/>
      <c r="C243" s="11"/>
      <c r="D243" s="11"/>
      <c r="E243" s="11"/>
      <c r="F243" s="11"/>
      <c r="G243" s="11"/>
      <c r="H243" s="11"/>
      <c r="I243" s="116">
        <v>44348</v>
      </c>
      <c r="J243" s="114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5">
      <c r="A244" s="8" t="s">
        <v>51</v>
      </c>
      <c r="B244" s="8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55000000000000004">
      <c r="A247" s="11"/>
      <c r="B247" s="12" t="s">
        <v>52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3">
      <c r="A248" s="13" t="s">
        <v>4</v>
      </c>
      <c r="B248" s="13" t="s">
        <v>5</v>
      </c>
      <c r="C248" s="13" t="s">
        <v>6</v>
      </c>
      <c r="D248" s="13" t="s">
        <v>7</v>
      </c>
      <c r="E248" s="14" t="s">
        <v>9</v>
      </c>
      <c r="F248" s="14" t="s">
        <v>47</v>
      </c>
      <c r="G248" s="14" t="s">
        <v>11</v>
      </c>
      <c r="H248" s="15" t="s">
        <v>48</v>
      </c>
      <c r="I248" s="15" t="s">
        <v>11</v>
      </c>
      <c r="J248" s="15" t="s">
        <v>49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45">
      <c r="A249" s="50"/>
      <c r="B249" s="50"/>
      <c r="C249" s="51"/>
      <c r="D249" s="51"/>
      <c r="E249" s="52"/>
      <c r="F249" s="52"/>
      <c r="G249" s="52"/>
      <c r="H249" s="53"/>
      <c r="I249" s="53"/>
      <c r="J249" s="54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45">
      <c r="A250" s="55"/>
      <c r="B250" s="23" t="s">
        <v>53</v>
      </c>
      <c r="C250" s="20"/>
      <c r="D250" s="19"/>
      <c r="E250" s="20"/>
      <c r="F250" s="20"/>
      <c r="G250" s="20"/>
      <c r="H250" s="21"/>
      <c r="I250" s="56"/>
      <c r="J250" s="22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45">
      <c r="A251" s="17">
        <v>1</v>
      </c>
      <c r="B251" s="18" t="s">
        <v>54</v>
      </c>
      <c r="C251" s="57">
        <v>2.5000000000000001E-2</v>
      </c>
      <c r="D251" s="58">
        <f t="shared" ref="D251:D252" si="9">100000*C251</f>
        <v>2500</v>
      </c>
      <c r="E251" s="59">
        <f t="shared" ref="E251:E252" si="10">D251/26</f>
        <v>96.15384615384616</v>
      </c>
      <c r="F251" s="23">
        <v>0</v>
      </c>
      <c r="G251" s="23" t="s">
        <v>55</v>
      </c>
      <c r="H251" s="21">
        <v>0</v>
      </c>
      <c r="I251" s="56" t="s">
        <v>55</v>
      </c>
      <c r="J251" s="60">
        <f t="shared" ref="J251:J252" si="11">(26-H251)*E251</f>
        <v>2500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45">
      <c r="A252" s="61">
        <v>2</v>
      </c>
      <c r="B252" s="62" t="s">
        <v>56</v>
      </c>
      <c r="C252" s="57">
        <v>2.5000000000000001E-2</v>
      </c>
      <c r="D252" s="58">
        <f t="shared" si="9"/>
        <v>2500</v>
      </c>
      <c r="E252" s="59">
        <f t="shared" si="10"/>
        <v>96.15384615384616</v>
      </c>
      <c r="F252" s="63">
        <v>0</v>
      </c>
      <c r="G252" s="63" t="s">
        <v>57</v>
      </c>
      <c r="H252" s="64"/>
      <c r="I252" s="65" t="s">
        <v>57</v>
      </c>
      <c r="J252" s="60">
        <f t="shared" si="11"/>
        <v>2500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45">
      <c r="A253" s="61"/>
      <c r="B253" s="66">
        <v>0.05</v>
      </c>
      <c r="C253" s="67"/>
      <c r="D253" s="68"/>
      <c r="E253" s="63"/>
      <c r="F253" s="63"/>
      <c r="G253" s="63"/>
      <c r="H253" s="69"/>
      <c r="I253" s="65"/>
      <c r="J253" s="70" t="s">
        <v>36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45">
      <c r="A254" s="71"/>
      <c r="B254" s="63" t="s">
        <v>14</v>
      </c>
      <c r="C254" s="72"/>
      <c r="D254" s="72"/>
      <c r="E254" s="72"/>
      <c r="F254" s="72"/>
      <c r="G254" s="72"/>
      <c r="H254" s="69"/>
      <c r="I254" s="73"/>
      <c r="J254" s="74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45">
      <c r="A255" s="61">
        <v>1</v>
      </c>
      <c r="B255" s="75" t="s">
        <v>124</v>
      </c>
      <c r="C255" s="67" t="s">
        <v>125</v>
      </c>
      <c r="D255" s="67">
        <v>15000</v>
      </c>
      <c r="E255" s="63"/>
      <c r="F255" s="63"/>
      <c r="G255" s="63"/>
      <c r="H255" s="69"/>
      <c r="I255" s="65"/>
      <c r="J255" s="74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45">
      <c r="A256" s="61"/>
      <c r="B256" s="75"/>
      <c r="C256" s="76" t="s">
        <v>59</v>
      </c>
      <c r="D256" s="67"/>
      <c r="E256" s="63">
        <v>12</v>
      </c>
      <c r="F256" s="63">
        <v>1000</v>
      </c>
      <c r="G256" s="63" t="s">
        <v>45</v>
      </c>
      <c r="H256" s="77" t="str">
        <f ca="1">IFERROR(__xludf.DUMMYFUNCTION("IMPORTRANGE(""https://docs.google.com/spreadsheets/d/16Sw6pk6Y7d48mYimr4KRbWzMgEVtJ-fFkS61Dhf2wA4/edit"",""ADV-GILANG!L66"") "),"#REF!")</f>
        <v>#REF!</v>
      </c>
      <c r="I256" s="65" t="s">
        <v>45</v>
      </c>
      <c r="J256" s="78" t="e">
        <f t="shared" ref="J256:J261" ca="1" si="12">H256*E256</f>
        <v>#VALUE!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45">
      <c r="A257" s="61"/>
      <c r="B257" s="75"/>
      <c r="C257" s="76" t="s">
        <v>61</v>
      </c>
      <c r="D257" s="67"/>
      <c r="E257" s="63">
        <v>21</v>
      </c>
      <c r="F257" s="63">
        <v>1000</v>
      </c>
      <c r="G257" s="63" t="s">
        <v>45</v>
      </c>
      <c r="H257" s="77" t="str">
        <f ca="1">IFERROR(__xludf.DUMMYFUNCTION("IMPORTRANGE(""https://docs.google.com/spreadsheets/d/16Sw6pk6Y7d48mYimr4KRbWzMgEVtJ-fFkS61Dhf2wA4/edit"",""ADV-GILANG!L73"") "),"#REF!")</f>
        <v>#REF!</v>
      </c>
      <c r="I257" s="65" t="s">
        <v>45</v>
      </c>
      <c r="J257" s="78" t="e">
        <f t="shared" ca="1" si="12"/>
        <v>#VALUE!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45">
      <c r="A258" s="61"/>
      <c r="B258" s="75"/>
      <c r="C258" s="76" t="s">
        <v>126</v>
      </c>
      <c r="D258" s="67"/>
      <c r="E258" s="63"/>
      <c r="F258" s="63">
        <v>1000</v>
      </c>
      <c r="G258" s="63" t="s">
        <v>45</v>
      </c>
      <c r="H258" s="69"/>
      <c r="I258" s="65" t="s">
        <v>45</v>
      </c>
      <c r="J258" s="78">
        <f t="shared" si="12"/>
        <v>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45">
      <c r="A259" s="61"/>
      <c r="B259" s="75"/>
      <c r="C259" s="76" t="s">
        <v>127</v>
      </c>
      <c r="D259" s="67"/>
      <c r="E259" s="63"/>
      <c r="F259" s="63">
        <v>1000</v>
      </c>
      <c r="G259" s="63" t="s">
        <v>45</v>
      </c>
      <c r="H259" s="69"/>
      <c r="I259" s="65" t="s">
        <v>45</v>
      </c>
      <c r="J259" s="78">
        <f t="shared" si="12"/>
        <v>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45">
      <c r="A260" s="61"/>
      <c r="B260" s="75"/>
      <c r="C260" s="76" t="s">
        <v>128</v>
      </c>
      <c r="D260" s="67"/>
      <c r="E260" s="63"/>
      <c r="F260" s="63">
        <v>1000</v>
      </c>
      <c r="G260" s="63" t="s">
        <v>45</v>
      </c>
      <c r="H260" s="69"/>
      <c r="I260" s="65" t="s">
        <v>45</v>
      </c>
      <c r="J260" s="78">
        <f t="shared" si="12"/>
        <v>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45">
      <c r="A261" s="61"/>
      <c r="B261" s="75"/>
      <c r="C261" s="76" t="s">
        <v>129</v>
      </c>
      <c r="D261" s="67"/>
      <c r="E261" s="63"/>
      <c r="F261" s="63">
        <v>1000</v>
      </c>
      <c r="G261" s="63" t="s">
        <v>45</v>
      </c>
      <c r="H261" s="77" t="str">
        <f ca="1">IFERROR(__xludf.DUMMYFUNCTION("IMPORTRANGE(""https://docs.google.com/spreadsheets/d/16Sw6pk6Y7d48mYimr4KRbWzMgEVtJ-fFkS61Dhf2wA4/edit"",""ADV-GILANG!L55"") "),"#REF!")</f>
        <v>#REF!</v>
      </c>
      <c r="I261" s="65" t="s">
        <v>45</v>
      </c>
      <c r="J261" s="78" t="e">
        <f t="shared" ca="1" si="12"/>
        <v>#VALUE!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45">
      <c r="A262" s="79"/>
      <c r="B262" s="80"/>
      <c r="C262" s="81"/>
      <c r="D262" s="82"/>
      <c r="E262" s="82"/>
      <c r="F262" s="82"/>
      <c r="G262" s="82"/>
      <c r="H262" s="83"/>
      <c r="I262" s="82"/>
      <c r="J262" s="83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45">
      <c r="A263" s="61"/>
      <c r="B263" s="75"/>
      <c r="C263" s="76" t="s">
        <v>65</v>
      </c>
      <c r="D263" s="67"/>
      <c r="E263" s="63">
        <v>20</v>
      </c>
      <c r="F263" s="63">
        <v>1000</v>
      </c>
      <c r="G263" s="63" t="s">
        <v>45</v>
      </c>
      <c r="H263" s="69"/>
      <c r="I263" s="65" t="s">
        <v>45</v>
      </c>
      <c r="J263" s="78">
        <f t="shared" ref="J263:J277" si="13">H263*E263</f>
        <v>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45">
      <c r="A264" s="61"/>
      <c r="B264" s="76"/>
      <c r="C264" s="76" t="s">
        <v>66</v>
      </c>
      <c r="D264" s="68"/>
      <c r="E264" s="63">
        <v>6</v>
      </c>
      <c r="F264" s="63">
        <v>5000</v>
      </c>
      <c r="G264" s="63" t="s">
        <v>45</v>
      </c>
      <c r="H264" s="69"/>
      <c r="I264" s="65" t="s">
        <v>45</v>
      </c>
      <c r="J264" s="78">
        <f t="shared" si="13"/>
        <v>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45">
      <c r="A265" s="61"/>
      <c r="B265" s="76"/>
      <c r="C265" s="76" t="s">
        <v>67</v>
      </c>
      <c r="D265" s="68"/>
      <c r="E265" s="63">
        <v>10</v>
      </c>
      <c r="F265" s="63">
        <v>2500</v>
      </c>
      <c r="G265" s="63" t="s">
        <v>45</v>
      </c>
      <c r="H265" s="77" t="str">
        <f ca="1">IFERROR(__xludf.DUMMYFUNCTION("IMPORTRANGE(""https://docs.google.com/spreadsheets/d/16Sw6pk6Y7d48mYimr4KRbWzMgEVtJ-fFkS61Dhf2wA4/edit"",""ADV-GILANG!L46"") "),"#REF!")</f>
        <v>#REF!</v>
      </c>
      <c r="I265" s="65" t="s">
        <v>45</v>
      </c>
      <c r="J265" s="78" t="e">
        <f t="shared" ca="1" si="13"/>
        <v>#VALUE!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45">
      <c r="A266" s="61"/>
      <c r="B266" s="76"/>
      <c r="C266" s="76" t="s">
        <v>68</v>
      </c>
      <c r="D266" s="68"/>
      <c r="E266" s="63">
        <v>25</v>
      </c>
      <c r="F266" s="63">
        <v>1000</v>
      </c>
      <c r="G266" s="63" t="s">
        <v>45</v>
      </c>
      <c r="H266" s="69"/>
      <c r="I266" s="65" t="s">
        <v>45</v>
      </c>
      <c r="J266" s="78">
        <f t="shared" si="13"/>
        <v>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45">
      <c r="A267" s="61"/>
      <c r="B267" s="76"/>
      <c r="C267" s="76" t="s">
        <v>69</v>
      </c>
      <c r="D267" s="68"/>
      <c r="E267" s="63">
        <v>6</v>
      </c>
      <c r="F267" s="63">
        <v>5000</v>
      </c>
      <c r="G267" s="63" t="s">
        <v>45</v>
      </c>
      <c r="H267" s="77" t="str">
        <f ca="1">IFERROR(__xludf.DUMMYFUNCTION("IMPORTRANGE(""https://docs.google.com/spreadsheets/d/16Sw6pk6Y7d48mYimr4KRbWzMgEVtJ-fFkS61Dhf2wA4/edit"",""ADV-GILANG!L49"") "),"#REF!")</f>
        <v>#REF!</v>
      </c>
      <c r="I267" s="65" t="s">
        <v>45</v>
      </c>
      <c r="J267" s="78" t="e">
        <f t="shared" ca="1" si="13"/>
        <v>#VALUE!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45">
      <c r="A268" s="61"/>
      <c r="B268" s="76"/>
      <c r="C268" s="76" t="s">
        <v>70</v>
      </c>
      <c r="D268" s="68"/>
      <c r="E268" s="63">
        <v>10</v>
      </c>
      <c r="F268" s="63">
        <v>2500</v>
      </c>
      <c r="G268" s="63" t="s">
        <v>45</v>
      </c>
      <c r="H268" s="77" t="str">
        <f ca="1">IFERROR(__xludf.DUMMYFUNCTION("IMPORTRANGE(""https://docs.google.com/spreadsheets/d/16Sw6pk6Y7d48mYimr4KRbWzMgEVtJ-fFkS61Dhf2wA4/edit"",""ADV-GILANG!L50"") "),"#REF!")</f>
        <v>#REF!</v>
      </c>
      <c r="I268" s="65" t="s">
        <v>45</v>
      </c>
      <c r="J268" s="78" t="e">
        <f t="shared" ca="1" si="13"/>
        <v>#VALUE!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45">
      <c r="A269" s="61"/>
      <c r="B269" s="76"/>
      <c r="C269" s="76" t="s">
        <v>71</v>
      </c>
      <c r="D269" s="68"/>
      <c r="E269" s="63">
        <v>10</v>
      </c>
      <c r="F269" s="63">
        <v>2500</v>
      </c>
      <c r="G269" s="63" t="s">
        <v>45</v>
      </c>
      <c r="H269" s="69"/>
      <c r="I269" s="65" t="s">
        <v>45</v>
      </c>
      <c r="J269" s="78">
        <f t="shared" si="13"/>
        <v>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45">
      <c r="A270" s="61"/>
      <c r="B270" s="76"/>
      <c r="C270" s="76" t="s">
        <v>72</v>
      </c>
      <c r="D270" s="68"/>
      <c r="E270" s="63">
        <v>6</v>
      </c>
      <c r="F270" s="63">
        <v>5000</v>
      </c>
      <c r="G270" s="63" t="s">
        <v>45</v>
      </c>
      <c r="H270" s="69"/>
      <c r="I270" s="65" t="s">
        <v>45</v>
      </c>
      <c r="J270" s="78">
        <f t="shared" si="13"/>
        <v>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45">
      <c r="A271" s="61"/>
      <c r="B271" s="76"/>
      <c r="C271" s="76" t="s">
        <v>73</v>
      </c>
      <c r="D271" s="68"/>
      <c r="E271" s="63">
        <v>20</v>
      </c>
      <c r="F271" s="63">
        <v>1200</v>
      </c>
      <c r="G271" s="63" t="s">
        <v>45</v>
      </c>
      <c r="H271" s="69"/>
      <c r="I271" s="65" t="s">
        <v>45</v>
      </c>
      <c r="J271" s="78">
        <f t="shared" si="13"/>
        <v>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45">
      <c r="A272" s="61"/>
      <c r="B272" s="76"/>
      <c r="C272" s="76" t="s">
        <v>74</v>
      </c>
      <c r="D272" s="68"/>
      <c r="E272" s="63">
        <v>6</v>
      </c>
      <c r="F272" s="63">
        <v>5000</v>
      </c>
      <c r="G272" s="63" t="s">
        <v>45</v>
      </c>
      <c r="H272" s="69"/>
      <c r="I272" s="65" t="s">
        <v>45</v>
      </c>
      <c r="J272" s="78">
        <f t="shared" si="13"/>
        <v>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45">
      <c r="A273" s="61"/>
      <c r="B273" s="76"/>
      <c r="C273" s="76" t="s">
        <v>75</v>
      </c>
      <c r="D273" s="68"/>
      <c r="E273" s="63">
        <v>12</v>
      </c>
      <c r="F273" s="63">
        <v>2000</v>
      </c>
      <c r="G273" s="63" t="s">
        <v>45</v>
      </c>
      <c r="H273" s="69"/>
      <c r="I273" s="65" t="s">
        <v>45</v>
      </c>
      <c r="J273" s="78">
        <f t="shared" si="13"/>
        <v>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45">
      <c r="A274" s="61"/>
      <c r="B274" s="76"/>
      <c r="C274" s="76" t="s">
        <v>76</v>
      </c>
      <c r="D274" s="68"/>
      <c r="E274" s="63">
        <v>5</v>
      </c>
      <c r="F274" s="63">
        <v>7000</v>
      </c>
      <c r="G274" s="63" t="s">
        <v>45</v>
      </c>
      <c r="H274" s="69"/>
      <c r="I274" s="65" t="s">
        <v>45</v>
      </c>
      <c r="J274" s="78">
        <f t="shared" si="13"/>
        <v>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45">
      <c r="A275" s="61"/>
      <c r="B275" s="76"/>
      <c r="C275" s="76" t="s">
        <v>77</v>
      </c>
      <c r="D275" s="68"/>
      <c r="E275" s="63">
        <v>25</v>
      </c>
      <c r="F275" s="63">
        <v>1000</v>
      </c>
      <c r="G275" s="63" t="s">
        <v>45</v>
      </c>
      <c r="H275" s="69"/>
      <c r="I275" s="65" t="s">
        <v>45</v>
      </c>
      <c r="J275" s="78">
        <f t="shared" si="13"/>
        <v>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45">
      <c r="A276" s="17"/>
      <c r="B276" s="84"/>
      <c r="C276" s="28" t="s">
        <v>78</v>
      </c>
      <c r="D276" s="19"/>
      <c r="E276" s="23">
        <v>5</v>
      </c>
      <c r="F276" s="23">
        <v>7000</v>
      </c>
      <c r="G276" s="23" t="s">
        <v>45</v>
      </c>
      <c r="H276" s="85" t="str">
        <f ca="1">IFERROR(__xludf.DUMMYFUNCTION("IMPORTRANGE(""https://docs.google.com/spreadsheets/d/16Sw6pk6Y7d48mYimr4KRbWzMgEVtJ-fFkS61Dhf2wA4/edit"",""ADV-GILANG!L59"") "),"#REF!")</f>
        <v>#REF!</v>
      </c>
      <c r="I276" s="56" t="s">
        <v>45</v>
      </c>
      <c r="J276" s="78" t="e">
        <f t="shared" ca="1" si="13"/>
        <v>#VALUE!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45">
      <c r="A277" s="17"/>
      <c r="B277" s="84"/>
      <c r="C277" s="28" t="s">
        <v>79</v>
      </c>
      <c r="D277" s="19"/>
      <c r="E277" s="23">
        <v>20</v>
      </c>
      <c r="F277" s="23">
        <v>1200</v>
      </c>
      <c r="G277" s="23" t="s">
        <v>45</v>
      </c>
      <c r="H277" s="21"/>
      <c r="I277" s="56" t="s">
        <v>45</v>
      </c>
      <c r="J277" s="78">
        <f t="shared" si="13"/>
        <v>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45">
      <c r="A278" s="17"/>
      <c r="B278" s="37"/>
      <c r="C278" s="19"/>
      <c r="D278" s="17"/>
      <c r="E278" s="107" t="s">
        <v>81</v>
      </c>
      <c r="F278" s="102"/>
      <c r="G278" s="103"/>
      <c r="H278" s="21"/>
      <c r="I278" s="56"/>
      <c r="J278" s="22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45">
      <c r="A279" s="17">
        <v>2</v>
      </c>
      <c r="B279" s="37" t="s">
        <v>80</v>
      </c>
      <c r="C279" s="86">
        <v>7.0000000000000007E-2</v>
      </c>
      <c r="D279" s="17">
        <v>7000</v>
      </c>
      <c r="E279" s="23"/>
      <c r="F279" s="23">
        <v>100</v>
      </c>
      <c r="G279" s="23" t="s">
        <v>46</v>
      </c>
      <c r="H279" s="21"/>
      <c r="I279" s="56" t="s">
        <v>46</v>
      </c>
      <c r="J279" s="25">
        <f>(H279/F279)*D279</f>
        <v>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45">
      <c r="A280" s="17"/>
      <c r="B280" s="39"/>
      <c r="C280" s="19"/>
      <c r="D280" s="17"/>
      <c r="E280" s="23"/>
      <c r="F280" s="23"/>
      <c r="G280" s="23"/>
      <c r="H280" s="21"/>
      <c r="I280" s="56"/>
      <c r="J280" s="25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45">
      <c r="A281" s="17">
        <v>3</v>
      </c>
      <c r="B281" s="37" t="s">
        <v>82</v>
      </c>
      <c r="C281" s="86">
        <v>0.2</v>
      </c>
      <c r="D281" s="17">
        <v>20000</v>
      </c>
      <c r="E281" s="23"/>
      <c r="F281" s="23"/>
      <c r="G281" s="23"/>
      <c r="H281" s="21"/>
      <c r="I281" s="56"/>
      <c r="J281" s="25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45">
      <c r="A282" s="17"/>
      <c r="B282" s="37" t="s">
        <v>83</v>
      </c>
      <c r="C282" s="28"/>
      <c r="D282" s="17"/>
      <c r="E282" s="23">
        <v>40</v>
      </c>
      <c r="F282" s="23">
        <v>500</v>
      </c>
      <c r="G282" s="23"/>
      <c r="H282" s="21"/>
      <c r="I282" s="56" t="s">
        <v>45</v>
      </c>
      <c r="J282" s="25">
        <f t="shared" ref="J282:J284" si="14">IF(H282&lt;=500,(H282*E282),IF(H282&gt;500,20000))</f>
        <v>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45">
      <c r="A283" s="17"/>
      <c r="B283" s="37" t="s">
        <v>84</v>
      </c>
      <c r="C283" s="28"/>
      <c r="D283" s="17"/>
      <c r="E283" s="23">
        <v>40</v>
      </c>
      <c r="F283" s="23">
        <v>500</v>
      </c>
      <c r="G283" s="23"/>
      <c r="H283" s="21"/>
      <c r="I283" s="56" t="s">
        <v>45</v>
      </c>
      <c r="J283" s="25">
        <f t="shared" si="14"/>
        <v>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45">
      <c r="A284" s="17"/>
      <c r="B284" s="37" t="s">
        <v>85</v>
      </c>
      <c r="C284" s="28"/>
      <c r="D284" s="17"/>
      <c r="E284" s="87">
        <v>40</v>
      </c>
      <c r="F284" s="87">
        <v>500</v>
      </c>
      <c r="G284" s="87"/>
      <c r="H284" s="21"/>
      <c r="I284" s="56" t="s">
        <v>45</v>
      </c>
      <c r="J284" s="25">
        <f t="shared" si="14"/>
        <v>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45">
      <c r="A285" s="17"/>
      <c r="B285" s="37"/>
      <c r="C285" s="19"/>
      <c r="D285" s="88"/>
      <c r="E285" s="89"/>
      <c r="F285" s="90"/>
      <c r="G285" s="91"/>
      <c r="H285" s="92"/>
      <c r="I285" s="56"/>
      <c r="J285" s="22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45">
      <c r="A286" s="17"/>
      <c r="B286" s="37"/>
      <c r="C286" s="19"/>
      <c r="D286" s="17"/>
      <c r="E286" s="123" t="s">
        <v>81</v>
      </c>
      <c r="F286" s="124"/>
      <c r="G286" s="125"/>
      <c r="H286" s="21"/>
      <c r="I286" s="56"/>
      <c r="J286" s="22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45">
      <c r="A287" s="17">
        <v>4</v>
      </c>
      <c r="B287" s="37" t="s">
        <v>130</v>
      </c>
      <c r="C287" s="86">
        <v>0.05</v>
      </c>
      <c r="D287" s="17">
        <v>5000</v>
      </c>
      <c r="E287" s="87"/>
      <c r="F287" s="87">
        <v>100</v>
      </c>
      <c r="G287" s="87" t="s">
        <v>46</v>
      </c>
      <c r="H287" s="21"/>
      <c r="I287" s="56" t="s">
        <v>46</v>
      </c>
      <c r="J287" s="25">
        <f>(H287/F287)*D287*100</f>
        <v>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45">
      <c r="A288" s="17"/>
      <c r="B288" s="37"/>
      <c r="C288" s="19"/>
      <c r="D288" s="88"/>
      <c r="E288" s="89"/>
      <c r="F288" s="90"/>
      <c r="G288" s="91"/>
      <c r="H288" s="92"/>
      <c r="I288" s="56"/>
      <c r="J288" s="22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45">
      <c r="A289" s="17"/>
      <c r="B289" s="37"/>
      <c r="C289" s="19"/>
      <c r="D289" s="17"/>
      <c r="E289" s="123" t="s">
        <v>81</v>
      </c>
      <c r="F289" s="124"/>
      <c r="G289" s="125"/>
      <c r="H289" s="21"/>
      <c r="I289" s="56"/>
      <c r="J289" s="22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45">
      <c r="A290" s="17">
        <v>5</v>
      </c>
      <c r="B290" s="37" t="s">
        <v>131</v>
      </c>
      <c r="C290" s="86">
        <v>0.1</v>
      </c>
      <c r="D290" s="17">
        <v>10000</v>
      </c>
      <c r="E290" s="23"/>
      <c r="F290" s="23">
        <v>100</v>
      </c>
      <c r="G290" s="23" t="s">
        <v>46</v>
      </c>
      <c r="H290" s="21"/>
      <c r="I290" s="56" t="s">
        <v>46</v>
      </c>
      <c r="J290" s="25">
        <f>(H290/F290)*D290*100</f>
        <v>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45">
      <c r="A291" s="17"/>
      <c r="B291" s="37"/>
      <c r="C291" s="28"/>
      <c r="D291" s="17"/>
      <c r="E291" s="23"/>
      <c r="F291" s="23"/>
      <c r="G291" s="23"/>
      <c r="H291" s="21"/>
      <c r="I291" s="56"/>
      <c r="J291" s="25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45">
      <c r="A292" s="17"/>
      <c r="B292" s="37"/>
      <c r="C292" s="28"/>
      <c r="D292" s="17"/>
      <c r="E292" s="23"/>
      <c r="F292" s="23"/>
      <c r="G292" s="23"/>
      <c r="H292" s="21"/>
      <c r="I292" s="56"/>
      <c r="J292" s="25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45">
      <c r="A293" s="17">
        <v>6</v>
      </c>
      <c r="B293" s="37" t="s">
        <v>132</v>
      </c>
      <c r="C293" s="19"/>
      <c r="D293" s="17"/>
      <c r="E293" s="107" t="s">
        <v>81</v>
      </c>
      <c r="F293" s="102"/>
      <c r="G293" s="103"/>
      <c r="H293" s="21"/>
      <c r="I293" s="56"/>
      <c r="J293" s="22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45">
      <c r="A294" s="17"/>
      <c r="B294" s="39"/>
      <c r="C294" s="86">
        <v>0.08</v>
      </c>
      <c r="D294" s="17">
        <v>8000</v>
      </c>
      <c r="E294" s="23"/>
      <c r="F294" s="23">
        <v>100</v>
      </c>
      <c r="G294" s="23" t="s">
        <v>46</v>
      </c>
      <c r="H294" s="21"/>
      <c r="I294" s="56" t="s">
        <v>46</v>
      </c>
      <c r="J294" s="25">
        <f>(H294/F294)*D294*100</f>
        <v>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45">
      <c r="A295" s="17"/>
      <c r="B295" s="39"/>
      <c r="C295" s="19"/>
      <c r="D295" s="17"/>
      <c r="E295" s="23"/>
      <c r="F295" s="23"/>
      <c r="G295" s="23"/>
      <c r="H295" s="21"/>
      <c r="I295" s="56"/>
      <c r="J295" s="25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45">
      <c r="A296" s="17"/>
      <c r="B296" s="39"/>
      <c r="C296" s="19"/>
      <c r="D296" s="17"/>
      <c r="E296" s="23"/>
      <c r="F296" s="23"/>
      <c r="G296" s="23"/>
      <c r="H296" s="21"/>
      <c r="I296" s="56"/>
      <c r="J296" s="25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45">
      <c r="A297" s="17">
        <v>7</v>
      </c>
      <c r="B297" s="37" t="s">
        <v>88</v>
      </c>
      <c r="C297" s="17" t="s">
        <v>133</v>
      </c>
      <c r="D297" s="17">
        <v>5000</v>
      </c>
      <c r="E297" s="23"/>
      <c r="F297" s="23"/>
      <c r="G297" s="23"/>
      <c r="H297" s="21"/>
      <c r="I297" s="56"/>
      <c r="J297" s="22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45">
      <c r="A298" s="17"/>
      <c r="B298" s="126" t="s">
        <v>89</v>
      </c>
      <c r="C298" s="93"/>
      <c r="D298" s="17"/>
      <c r="E298" s="23" t="s">
        <v>90</v>
      </c>
      <c r="F298" s="23" t="s">
        <v>91</v>
      </c>
      <c r="G298" s="23" t="s">
        <v>92</v>
      </c>
      <c r="H298" s="21"/>
      <c r="I298" s="56"/>
      <c r="J298" s="25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45">
      <c r="A299" s="17"/>
      <c r="B299" s="118"/>
      <c r="C299" s="93"/>
      <c r="D299" s="17"/>
      <c r="E299" s="23" t="s">
        <v>134</v>
      </c>
      <c r="F299" s="23" t="s">
        <v>94</v>
      </c>
      <c r="G299" s="23" t="s">
        <v>95</v>
      </c>
      <c r="H299" s="21"/>
      <c r="I299" s="56"/>
      <c r="J299" s="25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45">
      <c r="A300" s="17"/>
      <c r="B300" s="105"/>
      <c r="C300" s="93"/>
      <c r="D300" s="17">
        <v>2</v>
      </c>
      <c r="E300" s="23">
        <v>2000</v>
      </c>
      <c r="F300" s="23">
        <v>1333</v>
      </c>
      <c r="G300" s="23">
        <v>667</v>
      </c>
      <c r="H300" s="21"/>
      <c r="I300" s="56" t="s">
        <v>96</v>
      </c>
      <c r="J300" s="25">
        <f>IF(H300=0,0,IF(H300&gt;4,E300,IF(H300&gt;=3,F300,IF(H300&lt;=2,G300))))</f>
        <v>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45">
      <c r="A301" s="17"/>
      <c r="B301" s="126" t="s">
        <v>97</v>
      </c>
      <c r="C301" s="93"/>
      <c r="D301" s="17"/>
      <c r="E301" s="23" t="s">
        <v>90</v>
      </c>
      <c r="F301" s="23" t="s">
        <v>91</v>
      </c>
      <c r="G301" s="23" t="s">
        <v>92</v>
      </c>
      <c r="H301" s="21"/>
      <c r="I301" s="56"/>
      <c r="J301" s="25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45">
      <c r="A302" s="17"/>
      <c r="B302" s="118"/>
      <c r="C302" s="93"/>
      <c r="D302" s="17"/>
      <c r="E302" s="23" t="s">
        <v>98</v>
      </c>
      <c r="F302" s="23" t="s">
        <v>99</v>
      </c>
      <c r="G302" s="23" t="s">
        <v>100</v>
      </c>
      <c r="H302" s="21"/>
      <c r="I302" s="56"/>
      <c r="J302" s="25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45">
      <c r="A303" s="17"/>
      <c r="B303" s="105"/>
      <c r="C303" s="93"/>
      <c r="D303" s="17">
        <v>1</v>
      </c>
      <c r="E303" s="23">
        <v>1000</v>
      </c>
      <c r="F303" s="23">
        <v>667</v>
      </c>
      <c r="G303" s="23">
        <v>333</v>
      </c>
      <c r="H303" s="21"/>
      <c r="I303" s="56" t="s">
        <v>101</v>
      </c>
      <c r="J303" s="25">
        <f>IF(H303=0,0,IF(H303&gt;=20,E303,IF(H303&gt;=10,F303,IF(H303&lt;=9,G303))))</f>
        <v>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45">
      <c r="A304" s="17"/>
      <c r="B304" s="126" t="s">
        <v>102</v>
      </c>
      <c r="C304" s="93"/>
      <c r="D304" s="17"/>
      <c r="E304" s="23" t="s">
        <v>90</v>
      </c>
      <c r="F304" s="23" t="s">
        <v>91</v>
      </c>
      <c r="G304" s="23" t="s">
        <v>92</v>
      </c>
      <c r="H304" s="21"/>
      <c r="I304" s="56"/>
      <c r="J304" s="25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45">
      <c r="A305" s="17"/>
      <c r="B305" s="118"/>
      <c r="C305" s="93"/>
      <c r="D305" s="17"/>
      <c r="E305" s="23" t="s">
        <v>103</v>
      </c>
      <c r="F305" s="23" t="s">
        <v>104</v>
      </c>
      <c r="G305" s="23" t="s">
        <v>105</v>
      </c>
      <c r="H305" s="21"/>
      <c r="I305" s="56"/>
      <c r="J305" s="25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45">
      <c r="A306" s="17"/>
      <c r="B306" s="105"/>
      <c r="C306" s="93"/>
      <c r="D306" s="17">
        <v>2</v>
      </c>
      <c r="E306" s="23">
        <v>2000</v>
      </c>
      <c r="F306" s="23">
        <v>1333</v>
      </c>
      <c r="G306" s="23">
        <v>667</v>
      </c>
      <c r="H306" s="21"/>
      <c r="I306" s="56" t="s">
        <v>106</v>
      </c>
      <c r="J306" s="22">
        <f>IF(H306=0,0,IF(H306&gt;=3,E306,IF(H306=2,F306,IF(H306=1,G306))))</f>
        <v>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45">
      <c r="A307" s="17"/>
      <c r="B307" s="50"/>
      <c r="C307" s="17"/>
      <c r="D307" s="17"/>
      <c r="E307" s="19"/>
      <c r="F307" s="19"/>
      <c r="G307" s="19"/>
      <c r="H307" s="21"/>
      <c r="I307" s="22"/>
      <c r="J307" s="25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45">
      <c r="A308" s="17">
        <v>8</v>
      </c>
      <c r="B308" s="34" t="s">
        <v>107</v>
      </c>
      <c r="C308" s="17" t="s">
        <v>135</v>
      </c>
      <c r="D308" s="17">
        <v>10000</v>
      </c>
      <c r="E308" s="17">
        <v>2</v>
      </c>
      <c r="F308" s="17">
        <v>5000</v>
      </c>
      <c r="G308" s="17" t="s">
        <v>45</v>
      </c>
      <c r="H308" s="21"/>
      <c r="I308" s="56" t="s">
        <v>45</v>
      </c>
      <c r="J308" s="25">
        <f>H308*E308</f>
        <v>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45">
      <c r="A309" s="18"/>
      <c r="B309" s="50"/>
      <c r="C309" s="19"/>
      <c r="D309" s="19"/>
      <c r="E309" s="19"/>
      <c r="F309" s="19"/>
      <c r="G309" s="19"/>
      <c r="H309" s="94"/>
      <c r="I309" s="22"/>
      <c r="J309" s="22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45">
      <c r="A310" s="19"/>
      <c r="B310" s="42"/>
      <c r="C310" s="17"/>
      <c r="D310" s="17"/>
      <c r="E310" s="23" t="s">
        <v>90</v>
      </c>
      <c r="F310" s="23" t="s">
        <v>91</v>
      </c>
      <c r="G310" s="23" t="s">
        <v>92</v>
      </c>
      <c r="H310" s="21"/>
      <c r="I310" s="56"/>
      <c r="J310" s="22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45">
      <c r="A311" s="55"/>
      <c r="B311" s="23" t="s">
        <v>108</v>
      </c>
      <c r="C311" s="20"/>
      <c r="D311" s="20"/>
      <c r="E311" s="23">
        <v>5000</v>
      </c>
      <c r="F311" s="23">
        <v>3333</v>
      </c>
      <c r="G311" s="23">
        <v>1667</v>
      </c>
      <c r="H311" s="21"/>
      <c r="I311" s="22"/>
      <c r="J311" s="22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45">
      <c r="A312" s="132">
        <v>1</v>
      </c>
      <c r="B312" s="106" t="s">
        <v>109</v>
      </c>
      <c r="C312" s="68"/>
      <c r="D312" s="68"/>
      <c r="E312" s="67" t="s">
        <v>110</v>
      </c>
      <c r="F312" s="67" t="s">
        <v>111</v>
      </c>
      <c r="G312" s="67" t="s">
        <v>112</v>
      </c>
      <c r="H312" s="69"/>
      <c r="I312" s="74"/>
      <c r="J312" s="74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45">
      <c r="A313" s="105"/>
      <c r="B313" s="105"/>
      <c r="C313" s="17" t="s">
        <v>133</v>
      </c>
      <c r="D313" s="67">
        <v>5000</v>
      </c>
      <c r="E313" s="67">
        <v>5000</v>
      </c>
      <c r="F313" s="67">
        <v>3333</v>
      </c>
      <c r="G313" s="67">
        <v>1667</v>
      </c>
      <c r="H313" s="69"/>
      <c r="I313" s="65" t="s">
        <v>136</v>
      </c>
      <c r="J313" s="43">
        <f>IF(H313&gt;=15,E313,IF(H313&gt;=8,F313,IF(H313&gt;=2,G313,IF(H313&lt;2,0))))</f>
        <v>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45">
      <c r="A314" s="127">
        <v>2</v>
      </c>
      <c r="B314" s="128" t="s">
        <v>114</v>
      </c>
      <c r="C314" s="68"/>
      <c r="D314" s="67"/>
      <c r="E314" s="129" t="s">
        <v>81</v>
      </c>
      <c r="F314" s="102"/>
      <c r="G314" s="103"/>
      <c r="H314" s="69"/>
      <c r="I314" s="65"/>
      <c r="J314" s="44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45">
      <c r="A315" s="105"/>
      <c r="B315" s="105"/>
      <c r="C315" s="17" t="s">
        <v>133</v>
      </c>
      <c r="D315" s="67">
        <v>5000</v>
      </c>
      <c r="E315" s="63"/>
      <c r="F315" s="63">
        <v>100</v>
      </c>
      <c r="G315" s="63" t="s">
        <v>46</v>
      </c>
      <c r="H315" s="69"/>
      <c r="I315" s="65" t="s">
        <v>46</v>
      </c>
      <c r="J315" s="43">
        <f>H315/F315*D315*100</f>
        <v>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45">
      <c r="A316" s="127">
        <v>3</v>
      </c>
      <c r="B316" s="130" t="s">
        <v>115</v>
      </c>
      <c r="C316" s="68"/>
      <c r="D316" s="67"/>
      <c r="E316" s="67" t="s">
        <v>116</v>
      </c>
      <c r="F316" s="67" t="s">
        <v>117</v>
      </c>
      <c r="G316" s="67" t="s">
        <v>118</v>
      </c>
      <c r="H316" s="69"/>
      <c r="I316" s="95"/>
      <c r="J316" s="44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45">
      <c r="A317" s="105"/>
      <c r="B317" s="105"/>
      <c r="C317" s="17" t="s">
        <v>133</v>
      </c>
      <c r="D317" s="67">
        <v>5000</v>
      </c>
      <c r="E317" s="67">
        <v>5000</v>
      </c>
      <c r="F317" s="67">
        <v>2500</v>
      </c>
      <c r="G317" s="67">
        <v>0</v>
      </c>
      <c r="H317" s="69"/>
      <c r="I317" s="95" t="s">
        <v>137</v>
      </c>
      <c r="J317" s="43">
        <f>IF(H317&gt;=2,E317,IF(H317=1,F317,IF(H317=0,0)))</f>
        <v>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45">
      <c r="A318" s="96"/>
      <c r="B318" s="62"/>
      <c r="C318" s="97"/>
      <c r="D318" s="67"/>
      <c r="E318" s="67"/>
      <c r="F318" s="67"/>
      <c r="G318" s="67"/>
      <c r="H318" s="69"/>
      <c r="I318" s="74"/>
      <c r="J318" s="74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7">
      <c r="A319" s="96"/>
      <c r="B319" s="62"/>
      <c r="C319" s="97">
        <v>1</v>
      </c>
      <c r="D319" s="67"/>
      <c r="E319" s="67"/>
      <c r="F319" s="67"/>
      <c r="G319" s="67"/>
      <c r="H319" s="131" t="s">
        <v>44</v>
      </c>
      <c r="I319" s="125"/>
      <c r="J319" s="98" t="e">
        <f ca="1">SUM(J251:J318)</f>
        <v>#VALUE!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5">
      <c r="A323" s="115" t="s">
        <v>50</v>
      </c>
      <c r="B323" s="101"/>
      <c r="C323" s="11"/>
      <c r="D323" s="11"/>
      <c r="E323" s="11"/>
      <c r="F323" s="11"/>
      <c r="G323" s="11"/>
      <c r="H323" s="11"/>
      <c r="I323" s="116">
        <v>44348</v>
      </c>
      <c r="J323" s="114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5">
      <c r="A324" s="8" t="s">
        <v>51</v>
      </c>
      <c r="B324" s="8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55000000000000004">
      <c r="A327" s="11"/>
      <c r="B327" s="12" t="s">
        <v>121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3">
      <c r="A328" s="13" t="s">
        <v>4</v>
      </c>
      <c r="B328" s="13" t="s">
        <v>5</v>
      </c>
      <c r="C328" s="13" t="s">
        <v>6</v>
      </c>
      <c r="D328" s="13" t="s">
        <v>7</v>
      </c>
      <c r="E328" s="14" t="s">
        <v>9</v>
      </c>
      <c r="F328" s="14" t="s">
        <v>47</v>
      </c>
      <c r="G328" s="14" t="s">
        <v>11</v>
      </c>
      <c r="H328" s="15" t="s">
        <v>48</v>
      </c>
      <c r="I328" s="15" t="s">
        <v>11</v>
      </c>
      <c r="J328" s="15" t="s">
        <v>49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45">
      <c r="A329" s="50"/>
      <c r="B329" s="50"/>
      <c r="C329" s="51"/>
      <c r="D329" s="51"/>
      <c r="E329" s="52"/>
      <c r="F329" s="52"/>
      <c r="G329" s="52"/>
      <c r="H329" s="53"/>
      <c r="I329" s="53"/>
      <c r="J329" s="54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45">
      <c r="A330" s="55"/>
      <c r="B330" s="23" t="s">
        <v>53</v>
      </c>
      <c r="C330" s="20"/>
      <c r="D330" s="19"/>
      <c r="E330" s="20"/>
      <c r="F330" s="20"/>
      <c r="G330" s="20"/>
      <c r="H330" s="21"/>
      <c r="I330" s="56"/>
      <c r="J330" s="22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45">
      <c r="A331" s="17">
        <v>1</v>
      </c>
      <c r="B331" s="18" t="s">
        <v>54</v>
      </c>
      <c r="C331" s="57">
        <v>2.5000000000000001E-2</v>
      </c>
      <c r="D331" s="58">
        <f t="shared" ref="D331:D332" si="15">100000*C331</f>
        <v>2500</v>
      </c>
      <c r="E331" s="59">
        <f t="shared" ref="E331:E332" si="16">D331/26</f>
        <v>96.15384615384616</v>
      </c>
      <c r="F331" s="23">
        <v>0</v>
      </c>
      <c r="G331" s="23" t="s">
        <v>55</v>
      </c>
      <c r="H331" s="21">
        <v>0</v>
      </c>
      <c r="I331" s="56" t="s">
        <v>55</v>
      </c>
      <c r="J331" s="60">
        <f t="shared" ref="J331:J332" si="17">(26-H331)*E331</f>
        <v>2500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45">
      <c r="A332" s="61">
        <v>2</v>
      </c>
      <c r="B332" s="62" t="s">
        <v>56</v>
      </c>
      <c r="C332" s="57">
        <v>2.5000000000000001E-2</v>
      </c>
      <c r="D332" s="58">
        <f t="shared" si="15"/>
        <v>2500</v>
      </c>
      <c r="E332" s="59">
        <f t="shared" si="16"/>
        <v>96.15384615384616</v>
      </c>
      <c r="F332" s="63">
        <v>0</v>
      </c>
      <c r="G332" s="63" t="s">
        <v>57</v>
      </c>
      <c r="H332" s="69">
        <v>0</v>
      </c>
      <c r="I332" s="65" t="s">
        <v>57</v>
      </c>
      <c r="J332" s="60">
        <f t="shared" si="17"/>
        <v>2500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45">
      <c r="A333" s="61"/>
      <c r="B333" s="66">
        <v>0.05</v>
      </c>
      <c r="C333" s="67"/>
      <c r="D333" s="68"/>
      <c r="E333" s="63"/>
      <c r="F333" s="63"/>
      <c r="G333" s="63"/>
      <c r="H333" s="69"/>
      <c r="I333" s="65"/>
      <c r="J333" s="70" t="s">
        <v>36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45">
      <c r="A334" s="71"/>
      <c r="B334" s="63" t="s">
        <v>14</v>
      </c>
      <c r="C334" s="72"/>
      <c r="D334" s="72"/>
      <c r="E334" s="72"/>
      <c r="F334" s="72"/>
      <c r="G334" s="72"/>
      <c r="H334" s="69"/>
      <c r="I334" s="73"/>
      <c r="J334" s="74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45">
      <c r="A335" s="61">
        <v>1</v>
      </c>
      <c r="B335" s="75" t="s">
        <v>124</v>
      </c>
      <c r="C335" s="67" t="s">
        <v>125</v>
      </c>
      <c r="D335" s="67">
        <v>15000</v>
      </c>
      <c r="E335" s="63"/>
      <c r="F335" s="63"/>
      <c r="G335" s="63"/>
      <c r="H335" s="69"/>
      <c r="I335" s="65"/>
      <c r="J335" s="74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45">
      <c r="A336" s="61"/>
      <c r="B336" s="75"/>
      <c r="C336" s="76" t="s">
        <v>59</v>
      </c>
      <c r="D336" s="67"/>
      <c r="E336" s="63">
        <v>12</v>
      </c>
      <c r="F336" s="63">
        <v>1000</v>
      </c>
      <c r="G336" s="63" t="s">
        <v>45</v>
      </c>
      <c r="H336" s="77" t="str">
        <f ca="1">IFERROR(__xludf.DUMMYFUNCTION("IMPORTRANGE(""https://docs.google.com/spreadsheets/d/1hwN0dIusdEsUaqLhXW3aqqlGn-ck59RgHq1jH9G8a2E/edit"",""ADV RADIT!L64"")"),"#REF!")</f>
        <v>#REF!</v>
      </c>
      <c r="I336" s="65" t="s">
        <v>45</v>
      </c>
      <c r="J336" s="78" t="e">
        <f t="shared" ref="J336:J342" ca="1" si="18">H336*E336</f>
        <v>#VALUE!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45">
      <c r="A337" s="61"/>
      <c r="B337" s="75"/>
      <c r="C337" s="76" t="s">
        <v>61</v>
      </c>
      <c r="D337" s="67"/>
      <c r="E337" s="63">
        <v>21</v>
      </c>
      <c r="F337" s="63">
        <v>1000</v>
      </c>
      <c r="G337" s="63" t="s">
        <v>45</v>
      </c>
      <c r="H337" s="77" t="str">
        <f ca="1">IFERROR(__xludf.DUMMYFUNCTION("IMPORTRANGE(""https://docs.google.com/spreadsheets/d/1hwN0dIusdEsUaqLhXW3aqqlGn-ck59RgHq1jH9G8a2E/edit"",""ADV RADIT!L71"")"),"#REF!")</f>
        <v>#REF!</v>
      </c>
      <c r="I337" s="65" t="s">
        <v>45</v>
      </c>
      <c r="J337" s="78" t="e">
        <f t="shared" ca="1" si="18"/>
        <v>#VALUE!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45">
      <c r="A338" s="61"/>
      <c r="B338" s="75"/>
      <c r="C338" s="76" t="s">
        <v>126</v>
      </c>
      <c r="D338" s="67"/>
      <c r="E338" s="63"/>
      <c r="F338" s="63">
        <v>1000</v>
      </c>
      <c r="G338" s="63" t="s">
        <v>45</v>
      </c>
      <c r="H338" s="69"/>
      <c r="I338" s="65" t="s">
        <v>45</v>
      </c>
      <c r="J338" s="78">
        <f t="shared" si="18"/>
        <v>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45">
      <c r="A339" s="61"/>
      <c r="B339" s="75"/>
      <c r="C339" s="76" t="s">
        <v>127</v>
      </c>
      <c r="D339" s="67"/>
      <c r="E339" s="63"/>
      <c r="F339" s="63">
        <v>1000</v>
      </c>
      <c r="G339" s="63" t="s">
        <v>45</v>
      </c>
      <c r="H339" s="69"/>
      <c r="I339" s="65" t="s">
        <v>45</v>
      </c>
      <c r="J339" s="78">
        <f t="shared" si="18"/>
        <v>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45">
      <c r="A340" s="61"/>
      <c r="B340" s="75"/>
      <c r="C340" s="76" t="s">
        <v>128</v>
      </c>
      <c r="D340" s="67"/>
      <c r="E340" s="63"/>
      <c r="F340" s="63">
        <v>1000</v>
      </c>
      <c r="G340" s="63" t="s">
        <v>45</v>
      </c>
      <c r="H340" s="69"/>
      <c r="I340" s="65" t="s">
        <v>45</v>
      </c>
      <c r="J340" s="78">
        <f t="shared" si="18"/>
        <v>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45">
      <c r="A341" s="61"/>
      <c r="B341" s="75"/>
      <c r="C341" s="76" t="s">
        <v>129</v>
      </c>
      <c r="D341" s="67"/>
      <c r="E341" s="63"/>
      <c r="F341" s="63">
        <v>1000</v>
      </c>
      <c r="G341" s="63" t="s">
        <v>45</v>
      </c>
      <c r="H341" s="77" t="str">
        <f ca="1">IFERROR(__xludf.DUMMYFUNCTION("IMPORTRANGE(""https://docs.google.com/spreadsheets/d/1hwN0dIusdEsUaqLhXW3aqqlGn-ck59RgHq1jH9G8a2E/edit"",""ADV RADIT!L53"")"),"#REF!")</f>
        <v>#REF!</v>
      </c>
      <c r="I341" s="65" t="s">
        <v>45</v>
      </c>
      <c r="J341" s="78" t="e">
        <f t="shared" ca="1" si="18"/>
        <v>#VALUE!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45">
      <c r="A342" s="61"/>
      <c r="B342" s="75"/>
      <c r="C342" s="76" t="s">
        <v>138</v>
      </c>
      <c r="D342" s="67"/>
      <c r="E342" s="63"/>
      <c r="F342" s="63">
        <v>1000</v>
      </c>
      <c r="G342" s="63" t="s">
        <v>45</v>
      </c>
      <c r="H342" s="77" t="str">
        <f ca="1">IFERROR(__xludf.DUMMYFUNCTION("IMPORTRANGE(""https://docs.google.com/spreadsheets/d/1hwN0dIusdEsUaqLhXW3aqqlGn-ck59RgHq1jH9G8a2E/edit"",""ADV RADIT!L54"")"),"#REF!")</f>
        <v>#REF!</v>
      </c>
      <c r="I342" s="65" t="s">
        <v>45</v>
      </c>
      <c r="J342" s="78" t="e">
        <f t="shared" ca="1" si="18"/>
        <v>#VALUE!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45">
      <c r="A343" s="79"/>
      <c r="B343" s="80"/>
      <c r="C343" s="81"/>
      <c r="D343" s="82"/>
      <c r="E343" s="82"/>
      <c r="F343" s="82"/>
      <c r="G343" s="82"/>
      <c r="H343" s="83"/>
      <c r="I343" s="82"/>
      <c r="J343" s="83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45">
      <c r="A344" s="61"/>
      <c r="B344" s="75"/>
      <c r="C344" s="76" t="s">
        <v>65</v>
      </c>
      <c r="D344" s="67"/>
      <c r="E344" s="63">
        <v>20</v>
      </c>
      <c r="F344" s="63">
        <v>1000</v>
      </c>
      <c r="G344" s="63" t="s">
        <v>45</v>
      </c>
      <c r="H344" s="77" t="str">
        <f ca="1">IFERROR(__xludf.DUMMYFUNCTION("IMPORTRANGE(""https://docs.google.com/spreadsheets/d/1hwN0dIusdEsUaqLhXW3aqqlGn-ck59RgHq1jH9G8a2E/edit"",""ADV RADIT!K46"")"),"#REF!")</f>
        <v>#REF!</v>
      </c>
      <c r="I344" s="65" t="s">
        <v>45</v>
      </c>
      <c r="J344" s="78" t="e">
        <f t="shared" ref="J344:J359" ca="1" si="19">H344*E344</f>
        <v>#VALUE!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45">
      <c r="A345" s="61"/>
      <c r="B345" s="76"/>
      <c r="C345" s="76" t="s">
        <v>66</v>
      </c>
      <c r="D345" s="68"/>
      <c r="E345" s="63">
        <v>6</v>
      </c>
      <c r="F345" s="63">
        <v>5000</v>
      </c>
      <c r="G345" s="63" t="s">
        <v>45</v>
      </c>
      <c r="H345" s="77" t="str">
        <f ca="1">IFERROR(__xludf.DUMMYFUNCTION("IMPORTRANGE(""https://docs.google.com/spreadsheets/d/1hwN0dIusdEsUaqLhXW3aqqlGn-ck59RgHq1jH9G8a2E/edit"",""ADV RADIT!L43"")"),"#REF!")</f>
        <v>#REF!</v>
      </c>
      <c r="I345" s="65" t="s">
        <v>45</v>
      </c>
      <c r="J345" s="78" t="e">
        <f t="shared" ca="1" si="19"/>
        <v>#VALUE!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45">
      <c r="A346" s="61"/>
      <c r="B346" s="76"/>
      <c r="C346" s="76" t="s">
        <v>67</v>
      </c>
      <c r="D346" s="68"/>
      <c r="E346" s="63">
        <v>10</v>
      </c>
      <c r="F346" s="63">
        <v>2500</v>
      </c>
      <c r="G346" s="63" t="s">
        <v>45</v>
      </c>
      <c r="H346" s="77" t="str">
        <f ca="1">IFERROR(__xludf.DUMMYFUNCTION("IMPORTRANGE(""https://docs.google.com/spreadsheets/d/1hwN0dIusdEsUaqLhXW3aqqlGn-ck59RgHq1jH9G8a2E/edit"",""ADV RADIT!L44"")"),"#REF!")</f>
        <v>#REF!</v>
      </c>
      <c r="I346" s="65" t="s">
        <v>45</v>
      </c>
      <c r="J346" s="78" t="e">
        <f t="shared" ca="1" si="19"/>
        <v>#VALUE!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45">
      <c r="A347" s="61"/>
      <c r="B347" s="76"/>
      <c r="C347" s="76" t="s">
        <v>68</v>
      </c>
      <c r="D347" s="68"/>
      <c r="E347" s="63">
        <v>25</v>
      </c>
      <c r="F347" s="63">
        <v>1000</v>
      </c>
      <c r="G347" s="63" t="s">
        <v>45</v>
      </c>
      <c r="H347" s="77" t="str">
        <f ca="1">IFERROR(__xludf.DUMMYFUNCTION("IMPORTRANGE(""https://docs.google.com/spreadsheets/d/1hwN0dIusdEsUaqLhXW3aqqlGn-ck59RgHq1jH9G8a2E/edit"",""ADV RADIT!L46"")"),"#REF!")</f>
        <v>#REF!</v>
      </c>
      <c r="I347" s="65" t="s">
        <v>45</v>
      </c>
      <c r="J347" s="78" t="e">
        <f t="shared" ca="1" si="19"/>
        <v>#VALUE!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45">
      <c r="A348" s="61"/>
      <c r="B348" s="76"/>
      <c r="C348" s="76" t="s">
        <v>69</v>
      </c>
      <c r="D348" s="68"/>
      <c r="E348" s="63">
        <v>6</v>
      </c>
      <c r="F348" s="63">
        <v>5000</v>
      </c>
      <c r="G348" s="63" t="s">
        <v>45</v>
      </c>
      <c r="H348" s="77" t="str">
        <f ca="1">IFERROR(__xludf.DUMMYFUNCTION("IMPORTRANGE(""https://docs.google.com/spreadsheets/d/1hwN0dIusdEsUaqLhXW3aqqlGn-ck59RgHq1jH9G8a2E/edit"",""ADV RADIT!L47"")"),"#REF!")</f>
        <v>#REF!</v>
      </c>
      <c r="I348" s="65" t="s">
        <v>45</v>
      </c>
      <c r="J348" s="78" t="e">
        <f t="shared" ca="1" si="19"/>
        <v>#VALUE!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45">
      <c r="A349" s="61"/>
      <c r="B349" s="76"/>
      <c r="C349" s="76" t="s">
        <v>70</v>
      </c>
      <c r="D349" s="68"/>
      <c r="E349" s="63">
        <v>10</v>
      </c>
      <c r="F349" s="63">
        <v>2500</v>
      </c>
      <c r="G349" s="63" t="s">
        <v>45</v>
      </c>
      <c r="H349" s="77" t="str">
        <f ca="1">IFERROR(__xludf.DUMMYFUNCTION("IMPORTRANGE(""https://docs.google.com/spreadsheets/d/1hwN0dIusdEsUaqLhXW3aqqlGn-ck59RgHq1jH9G8a2E/edit"",""ADV RADIT!L48"")"),"#REF!")</f>
        <v>#REF!</v>
      </c>
      <c r="I349" s="65" t="s">
        <v>45</v>
      </c>
      <c r="J349" s="78" t="e">
        <f t="shared" ca="1" si="19"/>
        <v>#VALUE!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45">
      <c r="A350" s="61"/>
      <c r="B350" s="76"/>
      <c r="C350" s="76" t="s">
        <v>71</v>
      </c>
      <c r="D350" s="68"/>
      <c r="E350" s="63">
        <v>10</v>
      </c>
      <c r="F350" s="63">
        <v>2500</v>
      </c>
      <c r="G350" s="63" t="s">
        <v>45</v>
      </c>
      <c r="H350" s="69"/>
      <c r="I350" s="65" t="s">
        <v>45</v>
      </c>
      <c r="J350" s="78">
        <f t="shared" si="19"/>
        <v>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45">
      <c r="A351" s="61"/>
      <c r="B351" s="76"/>
      <c r="C351" s="76" t="s">
        <v>72</v>
      </c>
      <c r="D351" s="68"/>
      <c r="E351" s="63">
        <v>6</v>
      </c>
      <c r="F351" s="63">
        <v>5000</v>
      </c>
      <c r="G351" s="63" t="s">
        <v>45</v>
      </c>
      <c r="H351" s="69"/>
      <c r="I351" s="65" t="s">
        <v>45</v>
      </c>
      <c r="J351" s="78">
        <f t="shared" si="19"/>
        <v>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45">
      <c r="A352" s="61"/>
      <c r="B352" s="76"/>
      <c r="C352" s="76" t="s">
        <v>73</v>
      </c>
      <c r="D352" s="68"/>
      <c r="E352" s="63">
        <v>20</v>
      </c>
      <c r="F352" s="63">
        <v>1200</v>
      </c>
      <c r="G352" s="63" t="s">
        <v>45</v>
      </c>
      <c r="H352" s="69"/>
      <c r="I352" s="65" t="s">
        <v>45</v>
      </c>
      <c r="J352" s="78">
        <f t="shared" si="19"/>
        <v>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45">
      <c r="A353" s="61"/>
      <c r="B353" s="76"/>
      <c r="C353" s="76" t="s">
        <v>74</v>
      </c>
      <c r="D353" s="68"/>
      <c r="E353" s="63">
        <v>6</v>
      </c>
      <c r="F353" s="63">
        <v>5000</v>
      </c>
      <c r="G353" s="63" t="s">
        <v>45</v>
      </c>
      <c r="H353" s="69"/>
      <c r="I353" s="65" t="s">
        <v>45</v>
      </c>
      <c r="J353" s="78">
        <f t="shared" si="19"/>
        <v>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45">
      <c r="A354" s="61"/>
      <c r="B354" s="76"/>
      <c r="C354" s="76" t="s">
        <v>75</v>
      </c>
      <c r="D354" s="68"/>
      <c r="E354" s="63">
        <v>12</v>
      </c>
      <c r="F354" s="63">
        <v>2000</v>
      </c>
      <c r="G354" s="63" t="s">
        <v>45</v>
      </c>
      <c r="H354" s="69"/>
      <c r="I354" s="65" t="s">
        <v>45</v>
      </c>
      <c r="J354" s="78">
        <f t="shared" si="19"/>
        <v>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45">
      <c r="A355" s="61"/>
      <c r="B355" s="76"/>
      <c r="C355" s="76" t="s">
        <v>76</v>
      </c>
      <c r="D355" s="68"/>
      <c r="E355" s="63">
        <v>5</v>
      </c>
      <c r="F355" s="63">
        <v>7000</v>
      </c>
      <c r="G355" s="63" t="s">
        <v>45</v>
      </c>
      <c r="H355" s="77" t="str">
        <f ca="1">IFERROR(__xludf.DUMMYFUNCTION("IMPORTRANGE(""https://docs.google.com/spreadsheets/d/1hwN0dIusdEsUaqLhXW3aqqlGn-ck59RgHq1jH9G8a2E/edit"",""ADV RADIT!K57"")"),"#REF!")</f>
        <v>#REF!</v>
      </c>
      <c r="I355" s="65" t="s">
        <v>45</v>
      </c>
      <c r="J355" s="78" t="e">
        <f t="shared" ca="1" si="19"/>
        <v>#VALUE!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8.75" customHeight="1" x14ac:dyDescent="0.45">
      <c r="A356" s="61"/>
      <c r="B356" s="76"/>
      <c r="C356" s="76" t="s">
        <v>77</v>
      </c>
      <c r="D356" s="68"/>
      <c r="E356" s="63">
        <v>25</v>
      </c>
      <c r="F356" s="63">
        <v>1000</v>
      </c>
      <c r="G356" s="63" t="s">
        <v>45</v>
      </c>
      <c r="H356" s="77" t="str">
        <f ca="1">IFERROR(__xludf.DUMMYFUNCTION("IMPORTRANGE(""https://docs.google.com/spreadsheets/d/1hwN0dIusdEsUaqLhXW3aqqlGn-ck59RgHq1jH9G8a2E/edit"",""ADV RADIT!L58"")"),"#REF!")</f>
        <v>#REF!</v>
      </c>
      <c r="I356" s="65" t="s">
        <v>45</v>
      </c>
      <c r="J356" s="78" t="e">
        <f t="shared" ca="1" si="19"/>
        <v>#VALUE!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45">
      <c r="A357" s="17"/>
      <c r="B357" s="84"/>
      <c r="C357" s="28" t="s">
        <v>78</v>
      </c>
      <c r="D357" s="19"/>
      <c r="E357" s="23">
        <v>5</v>
      </c>
      <c r="F357" s="23">
        <v>7000</v>
      </c>
      <c r="G357" s="23" t="s">
        <v>45</v>
      </c>
      <c r="H357" s="21"/>
      <c r="I357" s="56" t="s">
        <v>45</v>
      </c>
      <c r="J357" s="78">
        <f t="shared" si="19"/>
        <v>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45">
      <c r="A358" s="17"/>
      <c r="B358" s="84"/>
      <c r="C358" s="28" t="s">
        <v>79</v>
      </c>
      <c r="D358" s="19"/>
      <c r="E358" s="23">
        <v>20</v>
      </c>
      <c r="F358" s="23">
        <v>1200</v>
      </c>
      <c r="G358" s="23" t="s">
        <v>45</v>
      </c>
      <c r="H358" s="21"/>
      <c r="I358" s="56" t="s">
        <v>45</v>
      </c>
      <c r="J358" s="78">
        <f t="shared" si="19"/>
        <v>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45">
      <c r="A359" s="61"/>
      <c r="B359" s="76"/>
      <c r="C359" s="76" t="s">
        <v>139</v>
      </c>
      <c r="D359" s="68"/>
      <c r="E359" s="63">
        <v>5</v>
      </c>
      <c r="F359" s="63">
        <v>7000</v>
      </c>
      <c r="G359" s="63" t="s">
        <v>45</v>
      </c>
      <c r="H359" s="77" t="str">
        <f ca="1">IFERROR(__xludf.DUMMYFUNCTION("IMPORTRANGE(""https://docs.google.com/spreadsheets/d/1hwN0dIusdEsUaqLhXW3aqqlGn-ck59RgHq1jH9G8a2E/edit"",""ADV RADIT!K66"")"),"#REF!")</f>
        <v>#REF!</v>
      </c>
      <c r="I359" s="65" t="s">
        <v>45</v>
      </c>
      <c r="J359" s="78" t="e">
        <f t="shared" ca="1" si="19"/>
        <v>#VALUE!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45">
      <c r="A360" s="17"/>
      <c r="B360" s="37"/>
      <c r="C360" s="19"/>
      <c r="D360" s="17"/>
      <c r="E360" s="107" t="s">
        <v>81</v>
      </c>
      <c r="F360" s="102"/>
      <c r="G360" s="103"/>
      <c r="H360" s="21"/>
      <c r="I360" s="56"/>
      <c r="J360" s="22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45">
      <c r="A361" s="17">
        <v>2</v>
      </c>
      <c r="B361" s="37" t="s">
        <v>80</v>
      </c>
      <c r="C361" s="86">
        <v>7.0000000000000007E-2</v>
      </c>
      <c r="D361" s="17">
        <v>7000</v>
      </c>
      <c r="E361" s="23"/>
      <c r="F361" s="23">
        <v>100</v>
      </c>
      <c r="G361" s="23" t="s">
        <v>46</v>
      </c>
      <c r="H361" s="21"/>
      <c r="I361" s="56" t="s">
        <v>46</v>
      </c>
      <c r="J361" s="25">
        <f>(H361/F361)*D361*100</f>
        <v>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45">
      <c r="A362" s="17"/>
      <c r="B362" s="39"/>
      <c r="C362" s="19"/>
      <c r="D362" s="17"/>
      <c r="E362" s="23"/>
      <c r="F362" s="23"/>
      <c r="G362" s="23"/>
      <c r="H362" s="21"/>
      <c r="I362" s="56"/>
      <c r="J362" s="25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45">
      <c r="A363" s="17">
        <v>3</v>
      </c>
      <c r="B363" s="37" t="s">
        <v>82</v>
      </c>
      <c r="C363" s="86">
        <v>0.2</v>
      </c>
      <c r="D363" s="17">
        <v>20000</v>
      </c>
      <c r="E363" s="23"/>
      <c r="F363" s="23"/>
      <c r="G363" s="23"/>
      <c r="H363" s="21"/>
      <c r="I363" s="56"/>
      <c r="J363" s="25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45">
      <c r="A364" s="17"/>
      <c r="B364" s="37" t="s">
        <v>83</v>
      </c>
      <c r="C364" s="28"/>
      <c r="D364" s="17"/>
      <c r="E364" s="23">
        <v>40</v>
      </c>
      <c r="F364" s="23">
        <v>500</v>
      </c>
      <c r="G364" s="23"/>
      <c r="H364" s="21"/>
      <c r="I364" s="56" t="s">
        <v>45</v>
      </c>
      <c r="J364" s="25">
        <f t="shared" ref="J364:J366" si="20">IF(H364&lt;=500,(H364*E364),IF(H364&gt;500,20000))</f>
        <v>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45">
      <c r="A365" s="17"/>
      <c r="B365" s="37" t="s">
        <v>84</v>
      </c>
      <c r="C365" s="28"/>
      <c r="D365" s="17"/>
      <c r="E365" s="23">
        <v>40</v>
      </c>
      <c r="F365" s="23">
        <v>500</v>
      </c>
      <c r="G365" s="23"/>
      <c r="H365" s="21"/>
      <c r="I365" s="56" t="s">
        <v>45</v>
      </c>
      <c r="J365" s="25">
        <f t="shared" si="20"/>
        <v>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45">
      <c r="A366" s="17"/>
      <c r="B366" s="37" t="s">
        <v>85</v>
      </c>
      <c r="C366" s="28"/>
      <c r="D366" s="17"/>
      <c r="E366" s="87">
        <v>40</v>
      </c>
      <c r="F366" s="87">
        <v>500</v>
      </c>
      <c r="G366" s="87"/>
      <c r="H366" s="21"/>
      <c r="I366" s="56" t="s">
        <v>45</v>
      </c>
      <c r="J366" s="25">
        <f t="shared" si="20"/>
        <v>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45">
      <c r="A367" s="17"/>
      <c r="B367" s="37"/>
      <c r="C367" s="19"/>
      <c r="D367" s="88"/>
      <c r="E367" s="89"/>
      <c r="F367" s="90"/>
      <c r="G367" s="91"/>
      <c r="H367" s="92"/>
      <c r="I367" s="56"/>
      <c r="J367" s="22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45">
      <c r="A368" s="17"/>
      <c r="B368" s="37"/>
      <c r="C368" s="19"/>
      <c r="D368" s="17"/>
      <c r="E368" s="123" t="s">
        <v>81</v>
      </c>
      <c r="F368" s="124"/>
      <c r="G368" s="125"/>
      <c r="H368" s="21"/>
      <c r="I368" s="56"/>
      <c r="J368" s="22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45">
      <c r="A369" s="17">
        <v>4</v>
      </c>
      <c r="B369" s="37" t="s">
        <v>130</v>
      </c>
      <c r="C369" s="86">
        <v>0.05</v>
      </c>
      <c r="D369" s="17">
        <v>5000</v>
      </c>
      <c r="E369" s="87"/>
      <c r="F369" s="87">
        <v>100</v>
      </c>
      <c r="G369" s="87" t="s">
        <v>46</v>
      </c>
      <c r="H369" s="21"/>
      <c r="I369" s="56" t="s">
        <v>46</v>
      </c>
      <c r="J369" s="25">
        <f>(H369/F369)*D369*100</f>
        <v>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45">
      <c r="A370" s="17"/>
      <c r="B370" s="37"/>
      <c r="C370" s="19"/>
      <c r="D370" s="88"/>
      <c r="E370" s="89"/>
      <c r="F370" s="90"/>
      <c r="G370" s="91"/>
      <c r="H370" s="92"/>
      <c r="I370" s="56"/>
      <c r="J370" s="22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45">
      <c r="A371" s="17"/>
      <c r="B371" s="37"/>
      <c r="C371" s="19"/>
      <c r="D371" s="17"/>
      <c r="E371" s="123" t="s">
        <v>81</v>
      </c>
      <c r="F371" s="124"/>
      <c r="G371" s="125"/>
      <c r="H371" s="21"/>
      <c r="I371" s="56"/>
      <c r="J371" s="22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45">
      <c r="A372" s="17">
        <v>5</v>
      </c>
      <c r="B372" s="37" t="s">
        <v>131</v>
      </c>
      <c r="C372" s="86">
        <v>0.1</v>
      </c>
      <c r="D372" s="17">
        <v>10000</v>
      </c>
      <c r="E372" s="23"/>
      <c r="F372" s="23">
        <v>100</v>
      </c>
      <c r="G372" s="23" t="s">
        <v>46</v>
      </c>
      <c r="H372" s="21"/>
      <c r="I372" s="56" t="s">
        <v>46</v>
      </c>
      <c r="J372" s="25">
        <f>(H372/F372)*D372*100</f>
        <v>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45">
      <c r="A373" s="17"/>
      <c r="B373" s="37"/>
      <c r="C373" s="28"/>
      <c r="D373" s="17"/>
      <c r="E373" s="23"/>
      <c r="F373" s="23"/>
      <c r="G373" s="23"/>
      <c r="H373" s="21"/>
      <c r="I373" s="56"/>
      <c r="J373" s="25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45">
      <c r="A374" s="17"/>
      <c r="B374" s="37"/>
      <c r="C374" s="28"/>
      <c r="D374" s="17"/>
      <c r="E374" s="23"/>
      <c r="F374" s="23"/>
      <c r="G374" s="23"/>
      <c r="H374" s="21"/>
      <c r="I374" s="56"/>
      <c r="J374" s="25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45">
      <c r="A375" s="17">
        <v>6</v>
      </c>
      <c r="B375" s="37" t="s">
        <v>132</v>
      </c>
      <c r="C375" s="19"/>
      <c r="D375" s="17"/>
      <c r="E375" s="107" t="s">
        <v>81</v>
      </c>
      <c r="F375" s="102"/>
      <c r="G375" s="103"/>
      <c r="H375" s="21"/>
      <c r="I375" s="56"/>
      <c r="J375" s="22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45">
      <c r="A376" s="17"/>
      <c r="B376" s="39"/>
      <c r="C376" s="86">
        <v>0.08</v>
      </c>
      <c r="D376" s="17">
        <v>8000</v>
      </c>
      <c r="E376" s="23"/>
      <c r="F376" s="23">
        <v>100</v>
      </c>
      <c r="G376" s="23" t="s">
        <v>46</v>
      </c>
      <c r="H376" s="21"/>
      <c r="I376" s="56" t="s">
        <v>46</v>
      </c>
      <c r="J376" s="25">
        <f>(H376/F376)*D376*100</f>
        <v>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45">
      <c r="A377" s="17"/>
      <c r="B377" s="39"/>
      <c r="C377" s="19"/>
      <c r="D377" s="17"/>
      <c r="E377" s="23"/>
      <c r="F377" s="23"/>
      <c r="G377" s="23"/>
      <c r="H377" s="21"/>
      <c r="I377" s="56"/>
      <c r="J377" s="25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45">
      <c r="A378" s="17"/>
      <c r="B378" s="39"/>
      <c r="C378" s="19"/>
      <c r="D378" s="17"/>
      <c r="E378" s="23"/>
      <c r="F378" s="23"/>
      <c r="G378" s="23"/>
      <c r="H378" s="21"/>
      <c r="I378" s="56"/>
      <c r="J378" s="25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45">
      <c r="A379" s="17">
        <v>7</v>
      </c>
      <c r="B379" s="37" t="s">
        <v>88</v>
      </c>
      <c r="C379" s="17" t="s">
        <v>133</v>
      </c>
      <c r="D379" s="17">
        <v>5000</v>
      </c>
      <c r="E379" s="23"/>
      <c r="F379" s="23"/>
      <c r="G379" s="23"/>
      <c r="H379" s="21"/>
      <c r="I379" s="56"/>
      <c r="J379" s="22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45">
      <c r="A380" s="17"/>
      <c r="B380" s="126" t="s">
        <v>89</v>
      </c>
      <c r="C380" s="93"/>
      <c r="D380" s="17"/>
      <c r="E380" s="23" t="s">
        <v>90</v>
      </c>
      <c r="F380" s="23" t="s">
        <v>91</v>
      </c>
      <c r="G380" s="23" t="s">
        <v>92</v>
      </c>
      <c r="H380" s="21"/>
      <c r="I380" s="56"/>
      <c r="J380" s="25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45">
      <c r="A381" s="17"/>
      <c r="B381" s="118"/>
      <c r="C381" s="93"/>
      <c r="D381" s="17"/>
      <c r="E381" s="23" t="s">
        <v>134</v>
      </c>
      <c r="F381" s="23" t="s">
        <v>94</v>
      </c>
      <c r="G381" s="23" t="s">
        <v>95</v>
      </c>
      <c r="H381" s="21"/>
      <c r="I381" s="56"/>
      <c r="J381" s="25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45">
      <c r="A382" s="17"/>
      <c r="B382" s="105"/>
      <c r="C382" s="93"/>
      <c r="D382" s="17">
        <v>2</v>
      </c>
      <c r="E382" s="23">
        <v>2000</v>
      </c>
      <c r="F382" s="23">
        <v>1333</v>
      </c>
      <c r="G382" s="23">
        <v>667</v>
      </c>
      <c r="H382" s="21"/>
      <c r="I382" s="56" t="s">
        <v>96</v>
      </c>
      <c r="J382" s="25">
        <f>IF(H382=0,0,IF(H382&gt;4,E382,IF(H382&gt;=3,F382,IF(H382&lt;=2,G382))))</f>
        <v>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45">
      <c r="A383" s="17"/>
      <c r="B383" s="126" t="s">
        <v>97</v>
      </c>
      <c r="C383" s="93"/>
      <c r="D383" s="17"/>
      <c r="E383" s="23" t="s">
        <v>90</v>
      </c>
      <c r="F383" s="23" t="s">
        <v>91</v>
      </c>
      <c r="G383" s="23" t="s">
        <v>92</v>
      </c>
      <c r="H383" s="21"/>
      <c r="I383" s="56"/>
      <c r="J383" s="25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45">
      <c r="A384" s="17"/>
      <c r="B384" s="118"/>
      <c r="C384" s="93"/>
      <c r="D384" s="17"/>
      <c r="E384" s="23" t="s">
        <v>98</v>
      </c>
      <c r="F384" s="23" t="s">
        <v>99</v>
      </c>
      <c r="G384" s="23" t="s">
        <v>100</v>
      </c>
      <c r="H384" s="21"/>
      <c r="I384" s="56"/>
      <c r="J384" s="25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45">
      <c r="A385" s="17"/>
      <c r="B385" s="105"/>
      <c r="C385" s="93"/>
      <c r="D385" s="17">
        <v>1</v>
      </c>
      <c r="E385" s="23">
        <v>1000</v>
      </c>
      <c r="F385" s="23">
        <v>667</v>
      </c>
      <c r="G385" s="23">
        <v>333</v>
      </c>
      <c r="H385" s="21"/>
      <c r="I385" s="56" t="s">
        <v>101</v>
      </c>
      <c r="J385" s="25">
        <f>IF(H385=0,0,IF(H385&gt;=20,E385,IF(H385&gt;=10,F385,IF(H385&lt;=9,G385))))</f>
        <v>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45">
      <c r="A386" s="17"/>
      <c r="B386" s="126" t="s">
        <v>102</v>
      </c>
      <c r="C386" s="93"/>
      <c r="D386" s="17"/>
      <c r="E386" s="23" t="s">
        <v>90</v>
      </c>
      <c r="F386" s="23" t="s">
        <v>91</v>
      </c>
      <c r="G386" s="23" t="s">
        <v>92</v>
      </c>
      <c r="H386" s="21"/>
      <c r="I386" s="56"/>
      <c r="J386" s="25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45">
      <c r="A387" s="17"/>
      <c r="B387" s="118"/>
      <c r="C387" s="93"/>
      <c r="D387" s="17"/>
      <c r="E387" s="23" t="s">
        <v>103</v>
      </c>
      <c r="F387" s="23" t="s">
        <v>104</v>
      </c>
      <c r="G387" s="23" t="s">
        <v>105</v>
      </c>
      <c r="H387" s="21"/>
      <c r="I387" s="56"/>
      <c r="J387" s="25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45">
      <c r="A388" s="17"/>
      <c r="B388" s="105"/>
      <c r="C388" s="93"/>
      <c r="D388" s="17">
        <v>2</v>
      </c>
      <c r="E388" s="23">
        <v>2000</v>
      </c>
      <c r="F388" s="23">
        <v>1333</v>
      </c>
      <c r="G388" s="23">
        <v>667</v>
      </c>
      <c r="H388" s="21"/>
      <c r="I388" s="56" t="s">
        <v>106</v>
      </c>
      <c r="J388" s="22">
        <f>IF(H388=0,0,IF(H388&gt;=3,E388,IF(H388=2,F388,IF(H388=1,G388))))</f>
        <v>0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45">
      <c r="A389" s="17"/>
      <c r="B389" s="50"/>
      <c r="C389" s="17"/>
      <c r="D389" s="17"/>
      <c r="E389" s="19"/>
      <c r="F389" s="19"/>
      <c r="G389" s="19"/>
      <c r="H389" s="21"/>
      <c r="I389" s="22"/>
      <c r="J389" s="25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45">
      <c r="A390" s="17">
        <v>8</v>
      </c>
      <c r="B390" s="34" t="s">
        <v>107</v>
      </c>
      <c r="C390" s="17" t="s">
        <v>135</v>
      </c>
      <c r="D390" s="17">
        <v>10000</v>
      </c>
      <c r="E390" s="17">
        <v>2</v>
      </c>
      <c r="F390" s="17">
        <v>5000</v>
      </c>
      <c r="G390" s="17" t="s">
        <v>45</v>
      </c>
      <c r="H390" s="21"/>
      <c r="I390" s="56" t="s">
        <v>45</v>
      </c>
      <c r="J390" s="25">
        <f>H390*E390</f>
        <v>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45">
      <c r="A391" s="18"/>
      <c r="B391" s="50"/>
      <c r="C391" s="19"/>
      <c r="D391" s="19"/>
      <c r="E391" s="19"/>
      <c r="F391" s="19"/>
      <c r="G391" s="19"/>
      <c r="H391" s="21"/>
      <c r="I391" s="22"/>
      <c r="J391" s="22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45">
      <c r="A392" s="19"/>
      <c r="B392" s="42"/>
      <c r="C392" s="17"/>
      <c r="D392" s="17"/>
      <c r="E392" s="23" t="s">
        <v>90</v>
      </c>
      <c r="F392" s="23" t="s">
        <v>91</v>
      </c>
      <c r="G392" s="23" t="s">
        <v>92</v>
      </c>
      <c r="H392" s="21"/>
      <c r="I392" s="56"/>
      <c r="J392" s="22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45">
      <c r="A393" s="55"/>
      <c r="B393" s="23" t="s">
        <v>108</v>
      </c>
      <c r="C393" s="20"/>
      <c r="D393" s="20"/>
      <c r="E393" s="23">
        <v>5000</v>
      </c>
      <c r="F393" s="23">
        <v>3333</v>
      </c>
      <c r="G393" s="23">
        <v>1667</v>
      </c>
      <c r="H393" s="21"/>
      <c r="I393" s="22"/>
      <c r="J393" s="22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45">
      <c r="A394" s="132">
        <v>1</v>
      </c>
      <c r="B394" s="106" t="s">
        <v>109</v>
      </c>
      <c r="C394" s="68"/>
      <c r="D394" s="68"/>
      <c r="E394" s="67" t="s">
        <v>110</v>
      </c>
      <c r="F394" s="67" t="s">
        <v>111</v>
      </c>
      <c r="G394" s="67" t="s">
        <v>112</v>
      </c>
      <c r="H394" s="69"/>
      <c r="I394" s="74"/>
      <c r="J394" s="74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45">
      <c r="A395" s="105"/>
      <c r="B395" s="105"/>
      <c r="C395" s="17" t="s">
        <v>133</v>
      </c>
      <c r="D395" s="67">
        <v>5000</v>
      </c>
      <c r="E395" s="67">
        <v>5000</v>
      </c>
      <c r="F395" s="67">
        <v>3333</v>
      </c>
      <c r="G395" s="67">
        <v>1667</v>
      </c>
      <c r="H395" s="69"/>
      <c r="I395" s="65" t="s">
        <v>136</v>
      </c>
      <c r="J395" s="43">
        <f>IF(H395&gt;=15,E395,IF(H395&gt;=8,F395,IF(H395&gt;=2,G395,IF(H395&lt;2,0))))</f>
        <v>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45">
      <c r="A396" s="127">
        <v>2</v>
      </c>
      <c r="B396" s="128" t="s">
        <v>114</v>
      </c>
      <c r="C396" s="68"/>
      <c r="D396" s="67"/>
      <c r="E396" s="129" t="s">
        <v>81</v>
      </c>
      <c r="F396" s="102"/>
      <c r="G396" s="103"/>
      <c r="H396" s="69"/>
      <c r="I396" s="65"/>
      <c r="J396" s="44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45">
      <c r="A397" s="105"/>
      <c r="B397" s="105"/>
      <c r="C397" s="17" t="s">
        <v>133</v>
      </c>
      <c r="D397" s="67">
        <v>5000</v>
      </c>
      <c r="E397" s="63"/>
      <c r="F397" s="63">
        <v>100</v>
      </c>
      <c r="G397" s="63" t="s">
        <v>46</v>
      </c>
      <c r="H397" s="69"/>
      <c r="I397" s="65" t="s">
        <v>46</v>
      </c>
      <c r="J397" s="43">
        <f>H397/F397*D397*100</f>
        <v>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45">
      <c r="A398" s="127">
        <v>3</v>
      </c>
      <c r="B398" s="130" t="s">
        <v>115</v>
      </c>
      <c r="C398" s="68"/>
      <c r="D398" s="67"/>
      <c r="E398" s="67" t="s">
        <v>116</v>
      </c>
      <c r="F398" s="67" t="s">
        <v>117</v>
      </c>
      <c r="G398" s="67" t="s">
        <v>118</v>
      </c>
      <c r="H398" s="69"/>
      <c r="I398" s="95"/>
      <c r="J398" s="44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45">
      <c r="A399" s="105"/>
      <c r="B399" s="105"/>
      <c r="C399" s="17" t="s">
        <v>133</v>
      </c>
      <c r="D399" s="67">
        <v>5000</v>
      </c>
      <c r="E399" s="67">
        <v>5000</v>
      </c>
      <c r="F399" s="67">
        <v>2500</v>
      </c>
      <c r="G399" s="67">
        <v>0</v>
      </c>
      <c r="H399" s="69"/>
      <c r="I399" s="95" t="s">
        <v>137</v>
      </c>
      <c r="J399" s="43">
        <f>IF(H399&gt;=2,E399,IF(H399=1,F399,IF(H399=0,0)))</f>
        <v>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45">
      <c r="A400" s="96"/>
      <c r="B400" s="62"/>
      <c r="C400" s="97"/>
      <c r="D400" s="67"/>
      <c r="E400" s="67"/>
      <c r="F400" s="67"/>
      <c r="G400" s="67"/>
      <c r="H400" s="69"/>
      <c r="I400" s="74"/>
      <c r="J400" s="74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7">
      <c r="A401" s="96"/>
      <c r="B401" s="62"/>
      <c r="C401" s="97">
        <v>1</v>
      </c>
      <c r="D401" s="67"/>
      <c r="E401" s="67"/>
      <c r="F401" s="67"/>
      <c r="G401" s="67"/>
      <c r="H401" s="131" t="s">
        <v>44</v>
      </c>
      <c r="I401" s="125"/>
      <c r="J401" s="98" t="e">
        <f ca="1">SUM(J331:J400)</f>
        <v>#VALUE!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5">
      <c r="A405" s="115" t="s">
        <v>50</v>
      </c>
      <c r="B405" s="101"/>
      <c r="C405" s="11"/>
      <c r="D405" s="11"/>
      <c r="E405" s="11"/>
      <c r="F405" s="11"/>
      <c r="G405" s="11"/>
      <c r="H405" s="11"/>
      <c r="I405" s="116">
        <v>44348</v>
      </c>
      <c r="J405" s="114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5">
      <c r="A406" s="8" t="s">
        <v>51</v>
      </c>
      <c r="B406" s="8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55000000000000004">
      <c r="A409" s="11"/>
      <c r="B409" s="12" t="s">
        <v>140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3">
      <c r="A410" s="13" t="s">
        <v>4</v>
      </c>
      <c r="B410" s="13" t="s">
        <v>5</v>
      </c>
      <c r="C410" s="13" t="s">
        <v>6</v>
      </c>
      <c r="D410" s="13" t="s">
        <v>7</v>
      </c>
      <c r="E410" s="14" t="s">
        <v>9</v>
      </c>
      <c r="F410" s="14" t="s">
        <v>47</v>
      </c>
      <c r="G410" s="14" t="s">
        <v>11</v>
      </c>
      <c r="H410" s="15" t="s">
        <v>48</v>
      </c>
      <c r="I410" s="15" t="s">
        <v>11</v>
      </c>
      <c r="J410" s="15" t="s">
        <v>49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45">
      <c r="A411" s="50"/>
      <c r="B411" s="50"/>
      <c r="C411" s="51"/>
      <c r="D411" s="51"/>
      <c r="E411" s="52"/>
      <c r="F411" s="52"/>
      <c r="G411" s="52"/>
      <c r="H411" s="53"/>
      <c r="I411" s="53"/>
      <c r="J411" s="54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45">
      <c r="A412" s="55"/>
      <c r="B412" s="23" t="s">
        <v>53</v>
      </c>
      <c r="C412" s="20"/>
      <c r="D412" s="19"/>
      <c r="E412" s="20"/>
      <c r="F412" s="20"/>
      <c r="G412" s="20"/>
      <c r="H412" s="21"/>
      <c r="I412" s="56"/>
      <c r="J412" s="22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45">
      <c r="A413" s="17">
        <v>1</v>
      </c>
      <c r="B413" s="18" t="s">
        <v>54</v>
      </c>
      <c r="C413" s="57">
        <v>2.5000000000000001E-2</v>
      </c>
      <c r="D413" s="58">
        <f t="shared" ref="D413:D414" si="21">100000*C413</f>
        <v>2500</v>
      </c>
      <c r="E413" s="59">
        <f t="shared" ref="E413:E414" si="22">D413/26</f>
        <v>96.15384615384616</v>
      </c>
      <c r="F413" s="23">
        <v>0</v>
      </c>
      <c r="G413" s="23" t="s">
        <v>55</v>
      </c>
      <c r="H413" s="21">
        <v>0</v>
      </c>
      <c r="I413" s="56" t="s">
        <v>55</v>
      </c>
      <c r="J413" s="60">
        <f t="shared" ref="J413:J414" si="23">(26-H413)*E413</f>
        <v>2500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45">
      <c r="A414" s="61">
        <v>2</v>
      </c>
      <c r="B414" s="62" t="s">
        <v>56</v>
      </c>
      <c r="C414" s="57">
        <v>2.5000000000000001E-2</v>
      </c>
      <c r="D414" s="58">
        <f t="shared" si="21"/>
        <v>2500</v>
      </c>
      <c r="E414" s="59">
        <f t="shared" si="22"/>
        <v>96.15384615384616</v>
      </c>
      <c r="F414" s="63">
        <v>0</v>
      </c>
      <c r="G414" s="63" t="s">
        <v>57</v>
      </c>
      <c r="H414" s="69">
        <v>0</v>
      </c>
      <c r="I414" s="65" t="s">
        <v>57</v>
      </c>
      <c r="J414" s="60">
        <f t="shared" si="23"/>
        <v>2500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45">
      <c r="A415" s="61"/>
      <c r="B415" s="66">
        <v>0.05</v>
      </c>
      <c r="C415" s="67"/>
      <c r="D415" s="68"/>
      <c r="E415" s="63"/>
      <c r="F415" s="63"/>
      <c r="G415" s="63"/>
      <c r="H415" s="69"/>
      <c r="I415" s="65"/>
      <c r="J415" s="70" t="s">
        <v>36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45">
      <c r="A416" s="71"/>
      <c r="B416" s="63" t="s">
        <v>14</v>
      </c>
      <c r="C416" s="72"/>
      <c r="D416" s="72"/>
      <c r="E416" s="72"/>
      <c r="F416" s="72"/>
      <c r="G416" s="72"/>
      <c r="H416" s="69"/>
      <c r="I416" s="73"/>
      <c r="J416" s="74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45">
      <c r="A417" s="61">
        <v>1</v>
      </c>
      <c r="B417" s="75" t="s">
        <v>124</v>
      </c>
      <c r="C417" s="67" t="s">
        <v>125</v>
      </c>
      <c r="D417" s="67">
        <v>15000</v>
      </c>
      <c r="E417" s="63"/>
      <c r="F417" s="63"/>
      <c r="G417" s="63"/>
      <c r="H417" s="69"/>
      <c r="I417" s="65"/>
      <c r="J417" s="74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45">
      <c r="A418" s="61"/>
      <c r="B418" s="75"/>
      <c r="C418" s="76" t="s">
        <v>59</v>
      </c>
      <c r="D418" s="67"/>
      <c r="E418" s="63">
        <v>12</v>
      </c>
      <c r="F418" s="63">
        <v>1000</v>
      </c>
      <c r="G418" s="63" t="s">
        <v>45</v>
      </c>
      <c r="H418" s="77">
        <f ca="1">IFERROR(__xludf.DUMMYFUNCTION("IMPORTRANGE(""https://docs.google.com/spreadsheets/d/1hwN0dIusdEsUaqLhXW3aqqlGn-ck59RgHq1jH9G8a2E/edit"",""ADV TEDY!L64"")"),29)</f>
        <v>29</v>
      </c>
      <c r="I418" s="65" t="s">
        <v>45</v>
      </c>
      <c r="J418" s="78">
        <f t="shared" ref="J418:J424" ca="1" si="24">H418*E418</f>
        <v>348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45">
      <c r="A419" s="61"/>
      <c r="B419" s="75"/>
      <c r="C419" s="76" t="s">
        <v>61</v>
      </c>
      <c r="D419" s="67"/>
      <c r="E419" s="63">
        <v>21</v>
      </c>
      <c r="F419" s="63">
        <v>1000</v>
      </c>
      <c r="G419" s="63" t="s">
        <v>45</v>
      </c>
      <c r="H419" s="77">
        <f ca="1">IFERROR(__xludf.DUMMYFUNCTION("IMPORTRANGE(""https://docs.google.com/spreadsheets/d/1hwN0dIusdEsUaqLhXW3aqqlGn-ck59RgHq1jH9G8a2E/edit"",""ADV TEDY!L71"")"),4)</f>
        <v>4</v>
      </c>
      <c r="I419" s="65" t="s">
        <v>45</v>
      </c>
      <c r="J419" s="78">
        <f t="shared" ca="1" si="24"/>
        <v>84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45">
      <c r="A420" s="61"/>
      <c r="B420" s="75"/>
      <c r="C420" s="76" t="s">
        <v>126</v>
      </c>
      <c r="D420" s="67"/>
      <c r="E420" s="63"/>
      <c r="F420" s="63">
        <v>1000</v>
      </c>
      <c r="G420" s="63" t="s">
        <v>45</v>
      </c>
      <c r="H420" s="69"/>
      <c r="I420" s="65" t="s">
        <v>45</v>
      </c>
      <c r="J420" s="78">
        <f t="shared" si="24"/>
        <v>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45">
      <c r="A421" s="61"/>
      <c r="B421" s="75"/>
      <c r="C421" s="76" t="s">
        <v>127</v>
      </c>
      <c r="D421" s="67"/>
      <c r="E421" s="63"/>
      <c r="F421" s="63">
        <v>1000</v>
      </c>
      <c r="G421" s="63" t="s">
        <v>45</v>
      </c>
      <c r="H421" s="69"/>
      <c r="I421" s="65" t="s">
        <v>45</v>
      </c>
      <c r="J421" s="78">
        <f t="shared" si="24"/>
        <v>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45">
      <c r="A422" s="61"/>
      <c r="B422" s="75"/>
      <c r="C422" s="76" t="s">
        <v>128</v>
      </c>
      <c r="D422" s="67"/>
      <c r="E422" s="63"/>
      <c r="F422" s="63">
        <v>1000</v>
      </c>
      <c r="G422" s="63" t="s">
        <v>45</v>
      </c>
      <c r="H422" s="69"/>
      <c r="I422" s="65" t="s">
        <v>45</v>
      </c>
      <c r="J422" s="78">
        <f t="shared" si="24"/>
        <v>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45">
      <c r="A423" s="61"/>
      <c r="B423" s="75"/>
      <c r="C423" s="76" t="s">
        <v>141</v>
      </c>
      <c r="D423" s="67"/>
      <c r="E423" s="63"/>
      <c r="F423" s="63">
        <v>1000</v>
      </c>
      <c r="G423" s="63" t="s">
        <v>45</v>
      </c>
      <c r="H423" s="69"/>
      <c r="I423" s="65" t="s">
        <v>45</v>
      </c>
      <c r="J423" s="78">
        <f t="shared" si="24"/>
        <v>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45">
      <c r="A424" s="61"/>
      <c r="B424" s="75"/>
      <c r="C424" s="76" t="s">
        <v>138</v>
      </c>
      <c r="D424" s="67"/>
      <c r="E424" s="63"/>
      <c r="F424" s="63">
        <v>1000</v>
      </c>
      <c r="G424" s="63" t="s">
        <v>45</v>
      </c>
      <c r="H424" s="77">
        <f ca="1">IFERROR(__xludf.DUMMYFUNCTION("IMPORTRANGE(""https://docs.google.com/spreadsheets/d/1hwN0dIusdEsUaqLhXW3aqqlGn-ck59RgHq1jH9G8a2E/edit"",""ADV TEDY!L54"")"),1)</f>
        <v>1</v>
      </c>
      <c r="I424" s="65" t="s">
        <v>45</v>
      </c>
      <c r="J424" s="78">
        <f t="shared" ca="1" si="24"/>
        <v>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45">
      <c r="A425" s="79"/>
      <c r="B425" s="80"/>
      <c r="C425" s="81"/>
      <c r="D425" s="82"/>
      <c r="E425" s="82"/>
      <c r="F425" s="82"/>
      <c r="G425" s="82"/>
      <c r="H425" s="83"/>
      <c r="I425" s="82"/>
      <c r="J425" s="83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45">
      <c r="A426" s="61"/>
      <c r="B426" s="75"/>
      <c r="C426" s="76" t="s">
        <v>65</v>
      </c>
      <c r="D426" s="67"/>
      <c r="E426" s="63">
        <v>20</v>
      </c>
      <c r="F426" s="63">
        <v>1000</v>
      </c>
      <c r="G426" s="63" t="s">
        <v>45</v>
      </c>
      <c r="H426" s="69"/>
      <c r="I426" s="65" t="s">
        <v>45</v>
      </c>
      <c r="J426" s="78">
        <f t="shared" ref="J426:J440" si="25">H426*E426</f>
        <v>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45">
      <c r="A427" s="61"/>
      <c r="B427" s="76"/>
      <c r="C427" s="76" t="s">
        <v>66</v>
      </c>
      <c r="D427" s="68"/>
      <c r="E427" s="63">
        <v>6</v>
      </c>
      <c r="F427" s="63">
        <v>5000</v>
      </c>
      <c r="G427" s="63" t="s">
        <v>45</v>
      </c>
      <c r="H427" s="69"/>
      <c r="I427" s="65" t="s">
        <v>45</v>
      </c>
      <c r="J427" s="78">
        <f t="shared" si="25"/>
        <v>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45">
      <c r="A428" s="61"/>
      <c r="B428" s="76"/>
      <c r="C428" s="76" t="s">
        <v>67</v>
      </c>
      <c r="D428" s="68"/>
      <c r="E428" s="63">
        <v>10</v>
      </c>
      <c r="F428" s="63">
        <v>2500</v>
      </c>
      <c r="G428" s="63" t="s">
        <v>45</v>
      </c>
      <c r="H428" s="77" t="str">
        <f ca="1">IFERROR(__xludf.DUMMYFUNCTION("IMPORTRANGE(""https://docs.google.com/spreadsheets/d/1hwN0dIusdEsUaqLhXW3aqqlGn-ck59RgHq1jH9G8a2E/edit"",""ADV TEDY!L44"")"),"")</f>
        <v/>
      </c>
      <c r="I428" s="65" t="s">
        <v>45</v>
      </c>
      <c r="J428" s="78" t="e">
        <f t="shared" ca="1" si="25"/>
        <v>#VALUE!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45">
      <c r="A429" s="61"/>
      <c r="B429" s="76"/>
      <c r="C429" s="76" t="s">
        <v>68</v>
      </c>
      <c r="D429" s="68"/>
      <c r="E429" s="63">
        <v>25</v>
      </c>
      <c r="F429" s="63">
        <v>1000</v>
      </c>
      <c r="G429" s="63" t="s">
        <v>45</v>
      </c>
      <c r="H429" s="69"/>
      <c r="I429" s="65" t="s">
        <v>45</v>
      </c>
      <c r="J429" s="78">
        <f t="shared" si="25"/>
        <v>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45">
      <c r="A430" s="61"/>
      <c r="B430" s="76"/>
      <c r="C430" s="76" t="s">
        <v>69</v>
      </c>
      <c r="D430" s="68"/>
      <c r="E430" s="63">
        <v>6</v>
      </c>
      <c r="F430" s="63">
        <v>5000</v>
      </c>
      <c r="G430" s="63" t="s">
        <v>45</v>
      </c>
      <c r="H430" s="77">
        <f ca="1">IFERROR(__xludf.DUMMYFUNCTION("IMPORTRANGE(""https://docs.google.com/spreadsheets/d/1hwN0dIusdEsUaqLhXW3aqqlGn-ck59RgHq1jH9G8a2E/edit"",""ADV TEDY!L47"")"),0)</f>
        <v>0</v>
      </c>
      <c r="I430" s="65" t="s">
        <v>45</v>
      </c>
      <c r="J430" s="78">
        <f t="shared" ca="1" si="25"/>
        <v>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45">
      <c r="A431" s="61"/>
      <c r="B431" s="76"/>
      <c r="C431" s="76" t="s">
        <v>70</v>
      </c>
      <c r="D431" s="68"/>
      <c r="E431" s="63">
        <v>10</v>
      </c>
      <c r="F431" s="63">
        <v>2500</v>
      </c>
      <c r="G431" s="63" t="s">
        <v>45</v>
      </c>
      <c r="H431" s="69"/>
      <c r="I431" s="65" t="s">
        <v>45</v>
      </c>
      <c r="J431" s="78">
        <f t="shared" si="25"/>
        <v>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45">
      <c r="A432" s="61"/>
      <c r="B432" s="76"/>
      <c r="C432" s="76" t="s">
        <v>71</v>
      </c>
      <c r="D432" s="68"/>
      <c r="E432" s="63">
        <v>10</v>
      </c>
      <c r="F432" s="63">
        <v>2500</v>
      </c>
      <c r="G432" s="63" t="s">
        <v>45</v>
      </c>
      <c r="H432" s="69"/>
      <c r="I432" s="65" t="s">
        <v>45</v>
      </c>
      <c r="J432" s="78">
        <f t="shared" si="25"/>
        <v>0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45">
      <c r="A433" s="61"/>
      <c r="B433" s="76"/>
      <c r="C433" s="76" t="s">
        <v>72</v>
      </c>
      <c r="D433" s="68"/>
      <c r="E433" s="63">
        <v>6</v>
      </c>
      <c r="F433" s="63">
        <v>5000</v>
      </c>
      <c r="G433" s="63" t="s">
        <v>45</v>
      </c>
      <c r="H433" s="69"/>
      <c r="I433" s="65" t="s">
        <v>45</v>
      </c>
      <c r="J433" s="78">
        <f t="shared" si="25"/>
        <v>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45">
      <c r="A434" s="61"/>
      <c r="B434" s="76"/>
      <c r="C434" s="76" t="s">
        <v>73</v>
      </c>
      <c r="D434" s="68"/>
      <c r="E434" s="63">
        <v>20</v>
      </c>
      <c r="F434" s="63">
        <v>1200</v>
      </c>
      <c r="G434" s="63" t="s">
        <v>45</v>
      </c>
      <c r="H434" s="69"/>
      <c r="I434" s="65" t="s">
        <v>45</v>
      </c>
      <c r="J434" s="78">
        <f t="shared" si="25"/>
        <v>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45">
      <c r="A435" s="61"/>
      <c r="B435" s="76"/>
      <c r="C435" s="76" t="s">
        <v>74</v>
      </c>
      <c r="D435" s="68"/>
      <c r="E435" s="63">
        <v>6</v>
      </c>
      <c r="F435" s="63">
        <v>5000</v>
      </c>
      <c r="G435" s="63" t="s">
        <v>45</v>
      </c>
      <c r="H435" s="69"/>
      <c r="I435" s="65" t="s">
        <v>45</v>
      </c>
      <c r="J435" s="78">
        <f t="shared" si="25"/>
        <v>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45">
      <c r="A436" s="61"/>
      <c r="B436" s="76"/>
      <c r="C436" s="76" t="s">
        <v>75</v>
      </c>
      <c r="D436" s="68"/>
      <c r="E436" s="63">
        <v>12</v>
      </c>
      <c r="F436" s="63">
        <v>2000</v>
      </c>
      <c r="G436" s="63" t="s">
        <v>45</v>
      </c>
      <c r="H436" s="69"/>
      <c r="I436" s="65" t="s">
        <v>45</v>
      </c>
      <c r="J436" s="78">
        <f t="shared" si="25"/>
        <v>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45">
      <c r="A437" s="61"/>
      <c r="B437" s="76"/>
      <c r="C437" s="76" t="s">
        <v>76</v>
      </c>
      <c r="D437" s="68"/>
      <c r="E437" s="63">
        <v>5</v>
      </c>
      <c r="F437" s="63">
        <v>7000</v>
      </c>
      <c r="G437" s="63" t="s">
        <v>45</v>
      </c>
      <c r="H437" s="69"/>
      <c r="I437" s="65" t="s">
        <v>45</v>
      </c>
      <c r="J437" s="78">
        <f t="shared" si="25"/>
        <v>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45">
      <c r="A438" s="61"/>
      <c r="B438" s="76"/>
      <c r="C438" s="76" t="s">
        <v>77</v>
      </c>
      <c r="D438" s="68"/>
      <c r="E438" s="63">
        <v>25</v>
      </c>
      <c r="F438" s="63">
        <v>1000</v>
      </c>
      <c r="G438" s="63" t="s">
        <v>45</v>
      </c>
      <c r="H438" s="69"/>
      <c r="I438" s="65" t="s">
        <v>45</v>
      </c>
      <c r="J438" s="78">
        <f t="shared" si="25"/>
        <v>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45">
      <c r="A439" s="17"/>
      <c r="B439" s="84"/>
      <c r="C439" s="28" t="s">
        <v>78</v>
      </c>
      <c r="D439" s="19"/>
      <c r="E439" s="23">
        <v>5</v>
      </c>
      <c r="F439" s="23">
        <v>7000</v>
      </c>
      <c r="G439" s="23" t="s">
        <v>45</v>
      </c>
      <c r="H439" s="21"/>
      <c r="I439" s="56" t="s">
        <v>45</v>
      </c>
      <c r="J439" s="78">
        <f t="shared" si="25"/>
        <v>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45">
      <c r="A440" s="17"/>
      <c r="B440" s="84"/>
      <c r="C440" s="28" t="s">
        <v>79</v>
      </c>
      <c r="D440" s="19"/>
      <c r="E440" s="23">
        <v>20</v>
      </c>
      <c r="F440" s="23">
        <v>1200</v>
      </c>
      <c r="G440" s="23" t="s">
        <v>45</v>
      </c>
      <c r="H440" s="21"/>
      <c r="I440" s="56" t="s">
        <v>45</v>
      </c>
      <c r="J440" s="78">
        <f t="shared" si="25"/>
        <v>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45">
      <c r="A441" s="17"/>
      <c r="B441" s="37"/>
      <c r="C441" s="19"/>
      <c r="D441" s="17"/>
      <c r="E441" s="107" t="s">
        <v>81</v>
      </c>
      <c r="F441" s="102"/>
      <c r="G441" s="103"/>
      <c r="H441" s="21"/>
      <c r="I441" s="56"/>
      <c r="J441" s="22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45">
      <c r="A442" s="17">
        <v>2</v>
      </c>
      <c r="B442" s="37" t="s">
        <v>80</v>
      </c>
      <c r="C442" s="86">
        <v>7.0000000000000007E-2</v>
      </c>
      <c r="D442" s="17">
        <v>7000</v>
      </c>
      <c r="E442" s="23"/>
      <c r="F442" s="23">
        <v>100</v>
      </c>
      <c r="G442" s="23" t="s">
        <v>46</v>
      </c>
      <c r="H442" s="21"/>
      <c r="I442" s="56" t="s">
        <v>46</v>
      </c>
      <c r="J442" s="25">
        <f>(H442/F442)*D442</f>
        <v>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45">
      <c r="A443" s="17"/>
      <c r="B443" s="39"/>
      <c r="C443" s="19"/>
      <c r="D443" s="17"/>
      <c r="E443" s="23"/>
      <c r="F443" s="23"/>
      <c r="G443" s="23"/>
      <c r="H443" s="21"/>
      <c r="I443" s="56"/>
      <c r="J443" s="25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45">
      <c r="A444" s="17">
        <v>3</v>
      </c>
      <c r="B444" s="37" t="s">
        <v>82</v>
      </c>
      <c r="C444" s="86">
        <v>0.2</v>
      </c>
      <c r="D444" s="17">
        <v>20000</v>
      </c>
      <c r="E444" s="23"/>
      <c r="F444" s="23"/>
      <c r="G444" s="23"/>
      <c r="H444" s="21"/>
      <c r="I444" s="56"/>
      <c r="J444" s="25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45">
      <c r="A445" s="17"/>
      <c r="B445" s="37" t="s">
        <v>142</v>
      </c>
      <c r="C445" s="28"/>
      <c r="D445" s="17"/>
      <c r="E445" s="23">
        <v>40</v>
      </c>
      <c r="F445" s="23">
        <v>500</v>
      </c>
      <c r="G445" s="23"/>
      <c r="H445" s="21">
        <v>500</v>
      </c>
      <c r="I445" s="56" t="s">
        <v>45</v>
      </c>
      <c r="J445" s="25">
        <f t="shared" ref="J445:J447" si="26">IF(H445&lt;=500,(H445*E445),IF(H445&gt;500,20000))</f>
        <v>20000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45">
      <c r="A446" s="17"/>
      <c r="B446" s="37" t="s">
        <v>84</v>
      </c>
      <c r="C446" s="28"/>
      <c r="D446" s="17"/>
      <c r="E446" s="23">
        <v>40</v>
      </c>
      <c r="F446" s="23">
        <v>500</v>
      </c>
      <c r="G446" s="23"/>
      <c r="H446" s="21"/>
      <c r="I446" s="56" t="s">
        <v>45</v>
      </c>
      <c r="J446" s="25">
        <f t="shared" si="26"/>
        <v>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45">
      <c r="A447" s="17"/>
      <c r="B447" s="37" t="s">
        <v>85</v>
      </c>
      <c r="C447" s="28"/>
      <c r="D447" s="17"/>
      <c r="E447" s="87">
        <v>40</v>
      </c>
      <c r="F447" s="87">
        <v>500</v>
      </c>
      <c r="G447" s="87"/>
      <c r="H447" s="21"/>
      <c r="I447" s="56" t="s">
        <v>45</v>
      </c>
      <c r="J447" s="25">
        <f t="shared" si="26"/>
        <v>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45">
      <c r="A448" s="17"/>
      <c r="B448" s="37"/>
      <c r="C448" s="19"/>
      <c r="D448" s="88"/>
      <c r="E448" s="89"/>
      <c r="F448" s="90"/>
      <c r="G448" s="91"/>
      <c r="H448" s="92"/>
      <c r="I448" s="56"/>
      <c r="J448" s="22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45">
      <c r="A449" s="17"/>
      <c r="B449" s="37"/>
      <c r="C449" s="19"/>
      <c r="D449" s="17"/>
      <c r="E449" s="123" t="s">
        <v>81</v>
      </c>
      <c r="F449" s="124"/>
      <c r="G449" s="125"/>
      <c r="H449" s="21"/>
      <c r="I449" s="56"/>
      <c r="J449" s="22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45">
      <c r="A450" s="17">
        <v>4</v>
      </c>
      <c r="B450" s="37" t="s">
        <v>130</v>
      </c>
      <c r="C450" s="86">
        <v>0.05</v>
      </c>
      <c r="D450" s="17">
        <v>5000</v>
      </c>
      <c r="E450" s="87"/>
      <c r="F450" s="87">
        <v>100</v>
      </c>
      <c r="G450" s="87" t="s">
        <v>46</v>
      </c>
      <c r="H450" s="21"/>
      <c r="I450" s="56" t="s">
        <v>46</v>
      </c>
      <c r="J450" s="25">
        <f>(H450/F450)*D450*100</f>
        <v>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45">
      <c r="A451" s="17"/>
      <c r="B451" s="37"/>
      <c r="C451" s="19"/>
      <c r="D451" s="88"/>
      <c r="E451" s="89"/>
      <c r="F451" s="90"/>
      <c r="G451" s="91"/>
      <c r="H451" s="92"/>
      <c r="I451" s="56"/>
      <c r="J451" s="22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45">
      <c r="A452" s="17"/>
      <c r="B452" s="37"/>
      <c r="C452" s="19"/>
      <c r="D452" s="17"/>
      <c r="E452" s="123" t="s">
        <v>81</v>
      </c>
      <c r="F452" s="124"/>
      <c r="G452" s="125"/>
      <c r="H452" s="21"/>
      <c r="I452" s="56"/>
      <c r="J452" s="22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45">
      <c r="A453" s="17">
        <v>5</v>
      </c>
      <c r="B453" s="37" t="s">
        <v>131</v>
      </c>
      <c r="C453" s="86">
        <v>0.1</v>
      </c>
      <c r="D453" s="17">
        <v>10000</v>
      </c>
      <c r="E453" s="23"/>
      <c r="F453" s="23">
        <v>100</v>
      </c>
      <c r="G453" s="23" t="s">
        <v>46</v>
      </c>
      <c r="H453" s="21"/>
      <c r="I453" s="56" t="s">
        <v>46</v>
      </c>
      <c r="J453" s="25">
        <f>(H453/F453)*D453*100</f>
        <v>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45">
      <c r="A454" s="17"/>
      <c r="B454" s="37"/>
      <c r="C454" s="28"/>
      <c r="D454" s="17"/>
      <c r="E454" s="23"/>
      <c r="F454" s="23"/>
      <c r="G454" s="23"/>
      <c r="H454" s="21"/>
      <c r="I454" s="56"/>
      <c r="J454" s="25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45">
      <c r="A455" s="17"/>
      <c r="B455" s="37"/>
      <c r="C455" s="28"/>
      <c r="D455" s="17"/>
      <c r="E455" s="23"/>
      <c r="F455" s="23"/>
      <c r="G455" s="23"/>
      <c r="H455" s="21"/>
      <c r="I455" s="56"/>
      <c r="J455" s="25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45">
      <c r="A456" s="17">
        <v>6</v>
      </c>
      <c r="B456" s="37" t="s">
        <v>132</v>
      </c>
      <c r="C456" s="19"/>
      <c r="D456" s="17"/>
      <c r="E456" s="107" t="s">
        <v>81</v>
      </c>
      <c r="F456" s="102"/>
      <c r="G456" s="103"/>
      <c r="H456" s="21"/>
      <c r="I456" s="56"/>
      <c r="J456" s="22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45">
      <c r="A457" s="17"/>
      <c r="B457" s="39"/>
      <c r="C457" s="86">
        <v>0.08</v>
      </c>
      <c r="D457" s="17">
        <v>8000</v>
      </c>
      <c r="E457" s="23"/>
      <c r="F457" s="23">
        <v>100</v>
      </c>
      <c r="G457" s="23" t="s">
        <v>46</v>
      </c>
      <c r="H457" s="21"/>
      <c r="I457" s="56" t="s">
        <v>46</v>
      </c>
      <c r="J457" s="25">
        <f>(H457/F457)*D457*100</f>
        <v>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45">
      <c r="A458" s="17"/>
      <c r="B458" s="39"/>
      <c r="C458" s="19"/>
      <c r="D458" s="17"/>
      <c r="E458" s="23"/>
      <c r="F458" s="23"/>
      <c r="G458" s="23"/>
      <c r="H458" s="21"/>
      <c r="I458" s="56"/>
      <c r="J458" s="25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45">
      <c r="A459" s="17"/>
      <c r="B459" s="39"/>
      <c r="C459" s="19"/>
      <c r="D459" s="17"/>
      <c r="E459" s="23"/>
      <c r="F459" s="23"/>
      <c r="G459" s="23"/>
      <c r="H459" s="21"/>
      <c r="I459" s="56"/>
      <c r="J459" s="25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45">
      <c r="A460" s="17">
        <v>7</v>
      </c>
      <c r="B460" s="37" t="s">
        <v>88</v>
      </c>
      <c r="C460" s="17" t="s">
        <v>133</v>
      </c>
      <c r="D460" s="17">
        <v>5000</v>
      </c>
      <c r="E460" s="23"/>
      <c r="F460" s="23"/>
      <c r="G460" s="23"/>
      <c r="H460" s="21"/>
      <c r="I460" s="56"/>
      <c r="J460" s="22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45">
      <c r="A461" s="17"/>
      <c r="B461" s="126" t="s">
        <v>89</v>
      </c>
      <c r="C461" s="93"/>
      <c r="D461" s="17"/>
      <c r="E461" s="23" t="s">
        <v>90</v>
      </c>
      <c r="F461" s="23" t="s">
        <v>91</v>
      </c>
      <c r="G461" s="23" t="s">
        <v>92</v>
      </c>
      <c r="H461" s="21"/>
      <c r="I461" s="56"/>
      <c r="J461" s="25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45">
      <c r="A462" s="17"/>
      <c r="B462" s="118"/>
      <c r="C462" s="93"/>
      <c r="D462" s="17"/>
      <c r="E462" s="23" t="s">
        <v>134</v>
      </c>
      <c r="F462" s="23" t="s">
        <v>94</v>
      </c>
      <c r="G462" s="23" t="s">
        <v>95</v>
      </c>
      <c r="H462" s="21"/>
      <c r="I462" s="56"/>
      <c r="J462" s="25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45">
      <c r="A463" s="17"/>
      <c r="B463" s="105"/>
      <c r="C463" s="93"/>
      <c r="D463" s="17">
        <v>2</v>
      </c>
      <c r="E463" s="23">
        <v>2000</v>
      </c>
      <c r="F463" s="23">
        <v>1333</v>
      </c>
      <c r="G463" s="23">
        <v>667</v>
      </c>
      <c r="H463" s="21"/>
      <c r="I463" s="56" t="s">
        <v>96</v>
      </c>
      <c r="J463" s="25">
        <f>IF(H463=0,0,IF(H463&gt;4,E463,IF(H463&gt;=3,F463,IF(H463&lt;=2,G463))))</f>
        <v>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45">
      <c r="A464" s="17"/>
      <c r="B464" s="126" t="s">
        <v>97</v>
      </c>
      <c r="C464" s="93"/>
      <c r="D464" s="17"/>
      <c r="E464" s="23" t="s">
        <v>90</v>
      </c>
      <c r="F464" s="23" t="s">
        <v>91</v>
      </c>
      <c r="G464" s="23" t="s">
        <v>92</v>
      </c>
      <c r="H464" s="21"/>
      <c r="I464" s="56"/>
      <c r="J464" s="25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45">
      <c r="A465" s="17"/>
      <c r="B465" s="118"/>
      <c r="C465" s="93"/>
      <c r="D465" s="17"/>
      <c r="E465" s="23" t="s">
        <v>98</v>
      </c>
      <c r="F465" s="23" t="s">
        <v>99</v>
      </c>
      <c r="G465" s="23" t="s">
        <v>100</v>
      </c>
      <c r="H465" s="21"/>
      <c r="I465" s="56"/>
      <c r="J465" s="25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45">
      <c r="A466" s="17"/>
      <c r="B466" s="105"/>
      <c r="C466" s="93"/>
      <c r="D466" s="17">
        <v>1</v>
      </c>
      <c r="E466" s="23">
        <v>1000</v>
      </c>
      <c r="F466" s="23">
        <v>667</v>
      </c>
      <c r="G466" s="23">
        <v>333</v>
      </c>
      <c r="H466" s="21"/>
      <c r="I466" s="56" t="s">
        <v>101</v>
      </c>
      <c r="J466" s="25">
        <f>IF(H466=0,0,IF(H466&gt;=20,E466,IF(H466&gt;=10,F466,IF(H466&lt;=9,G466))))</f>
        <v>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45">
      <c r="A467" s="17"/>
      <c r="B467" s="126" t="s">
        <v>102</v>
      </c>
      <c r="C467" s="93"/>
      <c r="D467" s="17"/>
      <c r="E467" s="23" t="s">
        <v>90</v>
      </c>
      <c r="F467" s="23" t="s">
        <v>91</v>
      </c>
      <c r="G467" s="23" t="s">
        <v>92</v>
      </c>
      <c r="H467" s="21"/>
      <c r="I467" s="56"/>
      <c r="J467" s="25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45">
      <c r="A468" s="17"/>
      <c r="B468" s="118"/>
      <c r="C468" s="93"/>
      <c r="D468" s="17"/>
      <c r="E468" s="23" t="s">
        <v>103</v>
      </c>
      <c r="F468" s="23" t="s">
        <v>104</v>
      </c>
      <c r="G468" s="23" t="s">
        <v>105</v>
      </c>
      <c r="H468" s="21"/>
      <c r="I468" s="56"/>
      <c r="J468" s="25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45">
      <c r="A469" s="17"/>
      <c r="B469" s="105"/>
      <c r="C469" s="93"/>
      <c r="D469" s="17">
        <v>2</v>
      </c>
      <c r="E469" s="23">
        <v>2000</v>
      </c>
      <c r="F469" s="23">
        <v>1333</v>
      </c>
      <c r="G469" s="23">
        <v>667</v>
      </c>
      <c r="H469" s="21"/>
      <c r="I469" s="56" t="s">
        <v>106</v>
      </c>
      <c r="J469" s="22">
        <f>IF(H469=0,0,IF(H469&gt;=3,E469,IF(H469=2,F469,IF(H469=1,G469))))</f>
        <v>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45">
      <c r="A470" s="17"/>
      <c r="B470" s="50"/>
      <c r="C470" s="17"/>
      <c r="D470" s="17"/>
      <c r="E470" s="19"/>
      <c r="F470" s="19"/>
      <c r="G470" s="19"/>
      <c r="H470" s="21"/>
      <c r="I470" s="22"/>
      <c r="J470" s="25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45">
      <c r="A471" s="17">
        <v>8</v>
      </c>
      <c r="B471" s="34" t="s">
        <v>107</v>
      </c>
      <c r="C471" s="17" t="s">
        <v>135</v>
      </c>
      <c r="D471" s="17">
        <v>10000</v>
      </c>
      <c r="E471" s="17">
        <v>2</v>
      </c>
      <c r="F471" s="17">
        <v>5000</v>
      </c>
      <c r="G471" s="17" t="s">
        <v>45</v>
      </c>
      <c r="H471" s="21"/>
      <c r="I471" s="56" t="s">
        <v>45</v>
      </c>
      <c r="J471" s="25">
        <f>H471*E471</f>
        <v>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45">
      <c r="A472" s="18"/>
      <c r="B472" s="50"/>
      <c r="C472" s="19"/>
      <c r="D472" s="19"/>
      <c r="E472" s="19"/>
      <c r="F472" s="19"/>
      <c r="G472" s="19"/>
      <c r="H472" s="21"/>
      <c r="I472" s="22"/>
      <c r="J472" s="22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45">
      <c r="A473" s="19"/>
      <c r="B473" s="42"/>
      <c r="C473" s="17"/>
      <c r="D473" s="17"/>
      <c r="E473" s="23" t="s">
        <v>90</v>
      </c>
      <c r="F473" s="23" t="s">
        <v>91</v>
      </c>
      <c r="G473" s="23" t="s">
        <v>92</v>
      </c>
      <c r="H473" s="21"/>
      <c r="I473" s="56"/>
      <c r="J473" s="22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45">
      <c r="A474" s="55"/>
      <c r="B474" s="23" t="s">
        <v>108</v>
      </c>
      <c r="C474" s="20"/>
      <c r="D474" s="20"/>
      <c r="E474" s="23">
        <v>5000</v>
      </c>
      <c r="F474" s="23">
        <v>3333</v>
      </c>
      <c r="G474" s="23">
        <v>1667</v>
      </c>
      <c r="H474" s="21"/>
      <c r="I474" s="22"/>
      <c r="J474" s="22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45">
      <c r="A475" s="132">
        <v>1</v>
      </c>
      <c r="B475" s="106" t="s">
        <v>109</v>
      </c>
      <c r="C475" s="68"/>
      <c r="D475" s="68"/>
      <c r="E475" s="67" t="s">
        <v>110</v>
      </c>
      <c r="F475" s="67" t="s">
        <v>111</v>
      </c>
      <c r="G475" s="67" t="s">
        <v>112</v>
      </c>
      <c r="H475" s="69"/>
      <c r="I475" s="74"/>
      <c r="J475" s="74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45">
      <c r="A476" s="105"/>
      <c r="B476" s="105"/>
      <c r="C476" s="17" t="s">
        <v>133</v>
      </c>
      <c r="D476" s="67">
        <v>5000</v>
      </c>
      <c r="E476" s="67">
        <v>5000</v>
      </c>
      <c r="F476" s="67">
        <v>3333</v>
      </c>
      <c r="G476" s="67">
        <v>1667</v>
      </c>
      <c r="H476" s="69"/>
      <c r="I476" s="65" t="s">
        <v>136</v>
      </c>
      <c r="J476" s="43">
        <f>IF(H476&gt;=15,E476,IF(H476&gt;=8,F476,IF(H476&gt;=2,G476,IF(H476&lt;2,0))))</f>
        <v>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45">
      <c r="A477" s="127">
        <v>2</v>
      </c>
      <c r="B477" s="128" t="s">
        <v>114</v>
      </c>
      <c r="C477" s="68"/>
      <c r="D477" s="67"/>
      <c r="E477" s="129" t="s">
        <v>81</v>
      </c>
      <c r="F477" s="102"/>
      <c r="G477" s="103"/>
      <c r="H477" s="69"/>
      <c r="I477" s="65"/>
      <c r="J477" s="44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45">
      <c r="A478" s="105"/>
      <c r="B478" s="105"/>
      <c r="C478" s="17" t="s">
        <v>133</v>
      </c>
      <c r="D478" s="67">
        <v>5000</v>
      </c>
      <c r="E478" s="63"/>
      <c r="F478" s="63">
        <v>100</v>
      </c>
      <c r="G478" s="63" t="s">
        <v>46</v>
      </c>
      <c r="H478" s="69"/>
      <c r="I478" s="65" t="s">
        <v>46</v>
      </c>
      <c r="J478" s="43">
        <f>H478/F478*D478*100</f>
        <v>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45">
      <c r="A479" s="127">
        <v>3</v>
      </c>
      <c r="B479" s="130" t="s">
        <v>115</v>
      </c>
      <c r="C479" s="68"/>
      <c r="D479" s="67"/>
      <c r="E479" s="67" t="s">
        <v>116</v>
      </c>
      <c r="F479" s="67" t="s">
        <v>117</v>
      </c>
      <c r="G479" s="67" t="s">
        <v>118</v>
      </c>
      <c r="H479" s="69"/>
      <c r="I479" s="95"/>
      <c r="J479" s="44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45">
      <c r="A480" s="105"/>
      <c r="B480" s="105"/>
      <c r="C480" s="17" t="s">
        <v>133</v>
      </c>
      <c r="D480" s="67">
        <v>5000</v>
      </c>
      <c r="E480" s="67">
        <v>5000</v>
      </c>
      <c r="F480" s="67">
        <v>2500</v>
      </c>
      <c r="G480" s="67">
        <v>0</v>
      </c>
      <c r="H480" s="69"/>
      <c r="I480" s="95" t="s">
        <v>137</v>
      </c>
      <c r="J480" s="43">
        <f>IF(H480&gt;=2,E480,IF(H480=1,F480,IF(H480=0,0)))</f>
        <v>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45">
      <c r="A481" s="96"/>
      <c r="B481" s="62"/>
      <c r="C481" s="97"/>
      <c r="D481" s="67"/>
      <c r="E481" s="67"/>
      <c r="F481" s="67"/>
      <c r="G481" s="67"/>
      <c r="H481" s="69"/>
      <c r="I481" s="74"/>
      <c r="J481" s="74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7">
      <c r="A482" s="96"/>
      <c r="B482" s="62"/>
      <c r="C482" s="97">
        <v>1</v>
      </c>
      <c r="D482" s="67"/>
      <c r="E482" s="67"/>
      <c r="F482" s="67"/>
      <c r="G482" s="67"/>
      <c r="H482" s="131" t="s">
        <v>44</v>
      </c>
      <c r="I482" s="125"/>
      <c r="J482" s="98" t="e">
        <f ca="1">SUM(J413:J481)</f>
        <v>#VALUE!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5">
      <c r="A486" s="115" t="s">
        <v>50</v>
      </c>
      <c r="B486" s="101"/>
      <c r="C486" s="11"/>
      <c r="D486" s="11"/>
      <c r="E486" s="11"/>
      <c r="F486" s="11"/>
      <c r="G486" s="11"/>
      <c r="H486" s="11"/>
      <c r="I486" s="116">
        <v>44348</v>
      </c>
      <c r="J486" s="114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5">
      <c r="A487" s="8" t="s">
        <v>51</v>
      </c>
      <c r="B487" s="8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55000000000000004">
      <c r="A490" s="11"/>
      <c r="B490" s="12" t="s">
        <v>143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3">
      <c r="A491" s="13" t="s">
        <v>4</v>
      </c>
      <c r="B491" s="13" t="s">
        <v>5</v>
      </c>
      <c r="C491" s="13" t="s">
        <v>6</v>
      </c>
      <c r="D491" s="13" t="s">
        <v>7</v>
      </c>
      <c r="E491" s="14" t="s">
        <v>9</v>
      </c>
      <c r="F491" s="14" t="s">
        <v>47</v>
      </c>
      <c r="G491" s="14" t="s">
        <v>11</v>
      </c>
      <c r="H491" s="15" t="s">
        <v>48</v>
      </c>
      <c r="I491" s="15" t="s">
        <v>11</v>
      </c>
      <c r="J491" s="15" t="s">
        <v>49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45">
      <c r="A492" s="50"/>
      <c r="B492" s="50"/>
      <c r="C492" s="51"/>
      <c r="D492" s="51"/>
      <c r="E492" s="52"/>
      <c r="F492" s="52"/>
      <c r="G492" s="52"/>
      <c r="H492" s="53"/>
      <c r="I492" s="53"/>
      <c r="J492" s="54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45">
      <c r="A493" s="55"/>
      <c r="B493" s="23" t="s">
        <v>53</v>
      </c>
      <c r="C493" s="20"/>
      <c r="D493" s="19"/>
      <c r="E493" s="20"/>
      <c r="F493" s="20"/>
      <c r="G493" s="20"/>
      <c r="H493" s="21"/>
      <c r="I493" s="56"/>
      <c r="J493" s="22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45">
      <c r="A494" s="17">
        <v>1</v>
      </c>
      <c r="B494" s="18" t="s">
        <v>54</v>
      </c>
      <c r="C494" s="57">
        <v>2.5000000000000001E-2</v>
      </c>
      <c r="D494" s="58">
        <f t="shared" ref="D494:D495" si="27">100000*C494</f>
        <v>2500</v>
      </c>
      <c r="E494" s="59">
        <f t="shared" ref="E494:E495" si="28">D494/26</f>
        <v>96.15384615384616</v>
      </c>
      <c r="F494" s="23">
        <v>0</v>
      </c>
      <c r="G494" s="23" t="s">
        <v>55</v>
      </c>
      <c r="H494" s="21">
        <v>1</v>
      </c>
      <c r="I494" s="56" t="s">
        <v>55</v>
      </c>
      <c r="J494" s="60">
        <f t="shared" ref="J494:J495" si="29">(26-H494)*E494</f>
        <v>2403.8461538461538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45">
      <c r="A495" s="61">
        <v>2</v>
      </c>
      <c r="B495" s="62" t="s">
        <v>56</v>
      </c>
      <c r="C495" s="57">
        <v>2.5000000000000001E-2</v>
      </c>
      <c r="D495" s="58">
        <f t="shared" si="27"/>
        <v>2500</v>
      </c>
      <c r="E495" s="59">
        <f t="shared" si="28"/>
        <v>96.15384615384616</v>
      </c>
      <c r="F495" s="63">
        <v>0</v>
      </c>
      <c r="G495" s="63" t="s">
        <v>57</v>
      </c>
      <c r="H495" s="69">
        <v>0</v>
      </c>
      <c r="I495" s="65" t="s">
        <v>57</v>
      </c>
      <c r="J495" s="60">
        <f t="shared" si="29"/>
        <v>2500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45">
      <c r="A496" s="61"/>
      <c r="B496" s="66">
        <v>0.05</v>
      </c>
      <c r="C496" s="67"/>
      <c r="D496" s="68"/>
      <c r="E496" s="63"/>
      <c r="F496" s="63"/>
      <c r="G496" s="63"/>
      <c r="H496" s="69"/>
      <c r="I496" s="65"/>
      <c r="J496" s="70" t="s">
        <v>36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45">
      <c r="A497" s="71"/>
      <c r="B497" s="63" t="s">
        <v>14</v>
      </c>
      <c r="C497" s="72"/>
      <c r="D497" s="72"/>
      <c r="E497" s="72"/>
      <c r="F497" s="72"/>
      <c r="G497" s="72"/>
      <c r="H497" s="69"/>
      <c r="I497" s="73"/>
      <c r="J497" s="74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45">
      <c r="A498" s="61">
        <v>1</v>
      </c>
      <c r="B498" s="75" t="s">
        <v>124</v>
      </c>
      <c r="C498" s="67" t="s">
        <v>125</v>
      </c>
      <c r="D498" s="67">
        <v>15000</v>
      </c>
      <c r="E498" s="63"/>
      <c r="F498" s="63"/>
      <c r="G498" s="63"/>
      <c r="H498" s="69"/>
      <c r="I498" s="65"/>
      <c r="J498" s="74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45">
      <c r="A499" s="61"/>
      <c r="B499" s="75"/>
      <c r="C499" s="76" t="s">
        <v>59</v>
      </c>
      <c r="D499" s="67"/>
      <c r="E499" s="63">
        <v>12</v>
      </c>
      <c r="F499" s="63">
        <v>1000</v>
      </c>
      <c r="G499" s="63" t="s">
        <v>45</v>
      </c>
      <c r="H499" s="69"/>
      <c r="I499" s="65" t="s">
        <v>45</v>
      </c>
      <c r="J499" s="78">
        <f t="shared" ref="J499:J504" si="30">H499*E499</f>
        <v>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45">
      <c r="A500" s="61"/>
      <c r="B500" s="75"/>
      <c r="C500" s="76" t="s">
        <v>61</v>
      </c>
      <c r="D500" s="67"/>
      <c r="E500" s="63">
        <v>21</v>
      </c>
      <c r="F500" s="63">
        <v>1000</v>
      </c>
      <c r="G500" s="63" t="s">
        <v>45</v>
      </c>
      <c r="H500" s="69"/>
      <c r="I500" s="65" t="s">
        <v>45</v>
      </c>
      <c r="J500" s="78">
        <f t="shared" si="30"/>
        <v>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45">
      <c r="A501" s="61"/>
      <c r="B501" s="75"/>
      <c r="C501" s="76" t="s">
        <v>126</v>
      </c>
      <c r="D501" s="67"/>
      <c r="E501" s="63"/>
      <c r="F501" s="63">
        <v>1000</v>
      </c>
      <c r="G501" s="63" t="s">
        <v>45</v>
      </c>
      <c r="H501" s="69"/>
      <c r="I501" s="65" t="s">
        <v>45</v>
      </c>
      <c r="J501" s="78">
        <f t="shared" si="30"/>
        <v>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45">
      <c r="A502" s="61"/>
      <c r="B502" s="75"/>
      <c r="C502" s="76" t="s">
        <v>127</v>
      </c>
      <c r="D502" s="67"/>
      <c r="E502" s="63"/>
      <c r="F502" s="63">
        <v>1000</v>
      </c>
      <c r="G502" s="63" t="s">
        <v>45</v>
      </c>
      <c r="H502" s="69"/>
      <c r="I502" s="65" t="s">
        <v>45</v>
      </c>
      <c r="J502" s="78">
        <f t="shared" si="30"/>
        <v>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45">
      <c r="A503" s="61"/>
      <c r="B503" s="75"/>
      <c r="C503" s="76" t="s">
        <v>128</v>
      </c>
      <c r="D503" s="67"/>
      <c r="E503" s="63"/>
      <c r="F503" s="63">
        <v>1000</v>
      </c>
      <c r="G503" s="63" t="s">
        <v>45</v>
      </c>
      <c r="H503" s="69"/>
      <c r="I503" s="65" t="s">
        <v>45</v>
      </c>
      <c r="J503" s="78">
        <f t="shared" si="30"/>
        <v>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45">
      <c r="A504" s="61"/>
      <c r="B504" s="75"/>
      <c r="C504" s="76" t="s">
        <v>141</v>
      </c>
      <c r="D504" s="67"/>
      <c r="E504" s="63"/>
      <c r="F504" s="63">
        <v>1000</v>
      </c>
      <c r="G504" s="63" t="s">
        <v>45</v>
      </c>
      <c r="H504" s="69"/>
      <c r="I504" s="65" t="s">
        <v>45</v>
      </c>
      <c r="J504" s="78">
        <f t="shared" si="30"/>
        <v>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45">
      <c r="A505" s="79"/>
      <c r="B505" s="80"/>
      <c r="C505" s="81"/>
      <c r="D505" s="82"/>
      <c r="E505" s="82"/>
      <c r="F505" s="82"/>
      <c r="G505" s="82"/>
      <c r="H505" s="83"/>
      <c r="I505" s="82"/>
      <c r="J505" s="83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45">
      <c r="A506" s="61"/>
      <c r="B506" s="75"/>
      <c r="C506" s="76" t="s">
        <v>65</v>
      </c>
      <c r="D506" s="67"/>
      <c r="E506" s="63">
        <v>20</v>
      </c>
      <c r="F506" s="63">
        <v>1000</v>
      </c>
      <c r="G506" s="63" t="s">
        <v>45</v>
      </c>
      <c r="H506" s="69"/>
      <c r="I506" s="65" t="s">
        <v>45</v>
      </c>
      <c r="J506" s="78">
        <f t="shared" ref="J506:J520" si="31">H506*E506</f>
        <v>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45">
      <c r="A507" s="61"/>
      <c r="B507" s="76"/>
      <c r="C507" s="76" t="s">
        <v>66</v>
      </c>
      <c r="D507" s="68"/>
      <c r="E507" s="63">
        <v>6</v>
      </c>
      <c r="F507" s="63">
        <v>5000</v>
      </c>
      <c r="G507" s="63" t="s">
        <v>45</v>
      </c>
      <c r="H507" s="69"/>
      <c r="I507" s="65" t="s">
        <v>45</v>
      </c>
      <c r="J507" s="78">
        <f t="shared" si="31"/>
        <v>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45">
      <c r="A508" s="61"/>
      <c r="B508" s="76"/>
      <c r="C508" s="76" t="s">
        <v>67</v>
      </c>
      <c r="D508" s="68"/>
      <c r="E508" s="63">
        <v>10</v>
      </c>
      <c r="F508" s="63">
        <v>2500</v>
      </c>
      <c r="G508" s="63" t="s">
        <v>45</v>
      </c>
      <c r="H508" s="69"/>
      <c r="I508" s="65" t="s">
        <v>45</v>
      </c>
      <c r="J508" s="78">
        <f t="shared" si="31"/>
        <v>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45">
      <c r="A509" s="61"/>
      <c r="B509" s="76"/>
      <c r="C509" s="76" t="s">
        <v>68</v>
      </c>
      <c r="D509" s="68"/>
      <c r="E509" s="63">
        <v>25</v>
      </c>
      <c r="F509" s="63">
        <v>1000</v>
      </c>
      <c r="G509" s="63" t="s">
        <v>45</v>
      </c>
      <c r="H509" s="69"/>
      <c r="I509" s="65" t="s">
        <v>45</v>
      </c>
      <c r="J509" s="78">
        <f t="shared" si="31"/>
        <v>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45">
      <c r="A510" s="61"/>
      <c r="B510" s="76"/>
      <c r="C510" s="76" t="s">
        <v>69</v>
      </c>
      <c r="D510" s="68"/>
      <c r="E510" s="63">
        <v>6</v>
      </c>
      <c r="F510" s="63">
        <v>5000</v>
      </c>
      <c r="G510" s="63" t="s">
        <v>45</v>
      </c>
      <c r="H510" s="69" t="str">
        <f ca="1">IFERROR(__xludf.DUMMYFUNCTION("IMPORTRANGE(""https://docs.google.com/spreadsheets/d/1hwN0dIusdEsUaqLhXW3aqqlGn-ck59RgHq1jH9G8a2E/edit"",""ADV WAHID!K48"") -5"),"#REF!")</f>
        <v>#REF!</v>
      </c>
      <c r="I510" s="65" t="s">
        <v>45</v>
      </c>
      <c r="J510" s="78" t="e">
        <f t="shared" ca="1" si="31"/>
        <v>#VALUE!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45">
      <c r="A511" s="61"/>
      <c r="B511" s="76"/>
      <c r="C511" s="76" t="s">
        <v>70</v>
      </c>
      <c r="D511" s="68"/>
      <c r="E511" s="63">
        <v>10</v>
      </c>
      <c r="F511" s="63">
        <v>2500</v>
      </c>
      <c r="G511" s="63" t="s">
        <v>45</v>
      </c>
      <c r="H511" s="69"/>
      <c r="I511" s="65" t="s">
        <v>45</v>
      </c>
      <c r="J511" s="78">
        <f t="shared" si="31"/>
        <v>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45">
      <c r="A512" s="61"/>
      <c r="B512" s="76"/>
      <c r="C512" s="76" t="s">
        <v>71</v>
      </c>
      <c r="D512" s="68"/>
      <c r="E512" s="63">
        <v>10</v>
      </c>
      <c r="F512" s="63">
        <v>2500</v>
      </c>
      <c r="G512" s="63" t="s">
        <v>45</v>
      </c>
      <c r="H512" s="69"/>
      <c r="I512" s="65" t="s">
        <v>45</v>
      </c>
      <c r="J512" s="78">
        <f t="shared" si="31"/>
        <v>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45">
      <c r="A513" s="61"/>
      <c r="B513" s="76"/>
      <c r="C513" s="76" t="s">
        <v>72</v>
      </c>
      <c r="D513" s="68"/>
      <c r="E513" s="63">
        <v>6</v>
      </c>
      <c r="F513" s="63">
        <v>5000</v>
      </c>
      <c r="G513" s="63" t="s">
        <v>45</v>
      </c>
      <c r="H513" s="69"/>
      <c r="I513" s="65" t="s">
        <v>45</v>
      </c>
      <c r="J513" s="78">
        <f t="shared" si="31"/>
        <v>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45">
      <c r="A514" s="61"/>
      <c r="B514" s="76"/>
      <c r="C514" s="76" t="s">
        <v>73</v>
      </c>
      <c r="D514" s="68"/>
      <c r="E514" s="63">
        <v>20</v>
      </c>
      <c r="F514" s="63">
        <v>1200</v>
      </c>
      <c r="G514" s="63" t="s">
        <v>45</v>
      </c>
      <c r="H514" s="69"/>
      <c r="I514" s="65" t="s">
        <v>45</v>
      </c>
      <c r="J514" s="78">
        <f t="shared" si="31"/>
        <v>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45">
      <c r="A515" s="61"/>
      <c r="B515" s="76"/>
      <c r="C515" s="76" t="s">
        <v>74</v>
      </c>
      <c r="D515" s="68"/>
      <c r="E515" s="63">
        <v>6</v>
      </c>
      <c r="F515" s="63">
        <v>5000</v>
      </c>
      <c r="G515" s="63" t="s">
        <v>45</v>
      </c>
      <c r="H515" s="69"/>
      <c r="I515" s="65" t="s">
        <v>45</v>
      </c>
      <c r="J515" s="78">
        <f t="shared" si="31"/>
        <v>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45">
      <c r="A516" s="61"/>
      <c r="B516" s="76"/>
      <c r="C516" s="76" t="s">
        <v>75</v>
      </c>
      <c r="D516" s="68"/>
      <c r="E516" s="63">
        <v>12</v>
      </c>
      <c r="F516" s="63">
        <v>2000</v>
      </c>
      <c r="G516" s="63" t="s">
        <v>45</v>
      </c>
      <c r="H516" s="69"/>
      <c r="I516" s="65" t="s">
        <v>45</v>
      </c>
      <c r="J516" s="78">
        <f t="shared" si="31"/>
        <v>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45">
      <c r="A517" s="61"/>
      <c r="B517" s="76"/>
      <c r="C517" s="76" t="s">
        <v>76</v>
      </c>
      <c r="D517" s="68"/>
      <c r="E517" s="63">
        <v>5</v>
      </c>
      <c r="F517" s="63">
        <v>7000</v>
      </c>
      <c r="G517" s="63" t="s">
        <v>45</v>
      </c>
      <c r="H517" s="69"/>
      <c r="I517" s="65" t="s">
        <v>45</v>
      </c>
      <c r="J517" s="78">
        <f t="shared" si="31"/>
        <v>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45">
      <c r="A518" s="61"/>
      <c r="B518" s="76"/>
      <c r="C518" s="76" t="s">
        <v>77</v>
      </c>
      <c r="D518" s="68"/>
      <c r="E518" s="63">
        <v>25</v>
      </c>
      <c r="F518" s="63">
        <v>1000</v>
      </c>
      <c r="G518" s="63" t="s">
        <v>45</v>
      </c>
      <c r="H518" s="69"/>
      <c r="I518" s="65" t="s">
        <v>45</v>
      </c>
      <c r="J518" s="78">
        <f t="shared" si="31"/>
        <v>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45">
      <c r="A519" s="17"/>
      <c r="B519" s="84"/>
      <c r="C519" s="28" t="s">
        <v>78</v>
      </c>
      <c r="D519" s="19"/>
      <c r="E519" s="23">
        <v>5</v>
      </c>
      <c r="F519" s="23">
        <v>7000</v>
      </c>
      <c r="G519" s="23" t="s">
        <v>45</v>
      </c>
      <c r="H519" s="21"/>
      <c r="I519" s="56" t="s">
        <v>45</v>
      </c>
      <c r="J519" s="78">
        <f t="shared" si="31"/>
        <v>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45">
      <c r="A520" s="17"/>
      <c r="B520" s="84"/>
      <c r="C520" s="28" t="s">
        <v>79</v>
      </c>
      <c r="D520" s="19"/>
      <c r="E520" s="23">
        <v>20</v>
      </c>
      <c r="F520" s="23">
        <v>1200</v>
      </c>
      <c r="G520" s="23" t="s">
        <v>45</v>
      </c>
      <c r="H520" s="21"/>
      <c r="I520" s="56" t="s">
        <v>45</v>
      </c>
      <c r="J520" s="78">
        <f t="shared" si="31"/>
        <v>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45">
      <c r="A521" s="17"/>
      <c r="B521" s="37"/>
      <c r="C521" s="19"/>
      <c r="D521" s="17"/>
      <c r="E521" s="107" t="s">
        <v>81</v>
      </c>
      <c r="F521" s="102"/>
      <c r="G521" s="103"/>
      <c r="H521" s="21"/>
      <c r="I521" s="56"/>
      <c r="J521" s="22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45">
      <c r="A522" s="17">
        <v>2</v>
      </c>
      <c r="B522" s="37" t="s">
        <v>80</v>
      </c>
      <c r="C522" s="86">
        <v>7.0000000000000007E-2</v>
      </c>
      <c r="D522" s="17">
        <v>7000</v>
      </c>
      <c r="E522" s="23"/>
      <c r="F522" s="23">
        <v>100</v>
      </c>
      <c r="G522" s="23" t="s">
        <v>46</v>
      </c>
      <c r="H522" s="21">
        <v>100</v>
      </c>
      <c r="I522" s="56" t="s">
        <v>46</v>
      </c>
      <c r="J522" s="25">
        <f>(H522/F522)*D522</f>
        <v>7000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45">
      <c r="A523" s="17"/>
      <c r="B523" s="39"/>
      <c r="C523" s="19"/>
      <c r="D523" s="17"/>
      <c r="E523" s="23"/>
      <c r="F523" s="23"/>
      <c r="G523" s="23"/>
      <c r="H523" s="21"/>
      <c r="I523" s="56"/>
      <c r="J523" s="25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45">
      <c r="A524" s="17">
        <v>3</v>
      </c>
      <c r="B524" s="37" t="s">
        <v>82</v>
      </c>
      <c r="C524" s="86">
        <v>0.2</v>
      </c>
      <c r="D524" s="17">
        <v>20000</v>
      </c>
      <c r="E524" s="23"/>
      <c r="F524" s="23"/>
      <c r="G524" s="23"/>
      <c r="H524" s="21"/>
      <c r="I524" s="56"/>
      <c r="J524" s="25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45">
      <c r="A525" s="17"/>
      <c r="B525" s="37" t="s">
        <v>83</v>
      </c>
      <c r="C525" s="28"/>
      <c r="D525" s="17"/>
      <c r="E525" s="23">
        <v>40</v>
      </c>
      <c r="F525" s="23">
        <v>500</v>
      </c>
      <c r="G525" s="23"/>
      <c r="H525" s="21"/>
      <c r="I525" s="56" t="s">
        <v>45</v>
      </c>
      <c r="J525" s="25">
        <f t="shared" ref="J525:J527" si="32">IF(H525&lt;=500,(H525*E525),IF(H525&gt;500,20000))</f>
        <v>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45">
      <c r="A526" s="17"/>
      <c r="B526" s="37" t="s">
        <v>84</v>
      </c>
      <c r="C526" s="28"/>
      <c r="D526" s="17"/>
      <c r="E526" s="23">
        <v>40</v>
      </c>
      <c r="F526" s="23">
        <v>500</v>
      </c>
      <c r="G526" s="23"/>
      <c r="H526" s="21"/>
      <c r="I526" s="56" t="s">
        <v>45</v>
      </c>
      <c r="J526" s="25">
        <f t="shared" si="32"/>
        <v>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45">
      <c r="A527" s="17"/>
      <c r="B527" s="37" t="s">
        <v>85</v>
      </c>
      <c r="C527" s="28"/>
      <c r="D527" s="17"/>
      <c r="E527" s="87">
        <v>40</v>
      </c>
      <c r="F527" s="87">
        <v>500</v>
      </c>
      <c r="G527" s="87"/>
      <c r="H527" s="21"/>
      <c r="I527" s="56" t="s">
        <v>45</v>
      </c>
      <c r="J527" s="25">
        <f t="shared" si="32"/>
        <v>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45">
      <c r="A528" s="17"/>
      <c r="B528" s="37"/>
      <c r="C528" s="19"/>
      <c r="D528" s="88"/>
      <c r="E528" s="89"/>
      <c r="F528" s="90"/>
      <c r="G528" s="91"/>
      <c r="H528" s="92"/>
      <c r="I528" s="56"/>
      <c r="J528" s="22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45">
      <c r="A529" s="17"/>
      <c r="B529" s="37"/>
      <c r="C529" s="19"/>
      <c r="D529" s="17"/>
      <c r="E529" s="123" t="s">
        <v>81</v>
      </c>
      <c r="F529" s="124"/>
      <c r="G529" s="125"/>
      <c r="H529" s="21"/>
      <c r="I529" s="56"/>
      <c r="J529" s="22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45">
      <c r="A530" s="17">
        <v>4</v>
      </c>
      <c r="B530" s="37" t="s">
        <v>130</v>
      </c>
      <c r="C530" s="86">
        <v>0.05</v>
      </c>
      <c r="D530" s="17">
        <v>5000</v>
      </c>
      <c r="E530" s="87"/>
      <c r="F530" s="87">
        <v>100</v>
      </c>
      <c r="G530" s="87" t="s">
        <v>46</v>
      </c>
      <c r="H530" s="21">
        <v>100</v>
      </c>
      <c r="I530" s="56" t="s">
        <v>46</v>
      </c>
      <c r="J530" s="25">
        <f>(H530/F530)*D530</f>
        <v>5000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45">
      <c r="A531" s="17"/>
      <c r="B531" s="37"/>
      <c r="C531" s="19"/>
      <c r="D531" s="88"/>
      <c r="E531" s="89"/>
      <c r="F531" s="90"/>
      <c r="G531" s="91"/>
      <c r="H531" s="92"/>
      <c r="I531" s="56"/>
      <c r="J531" s="22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45">
      <c r="A532" s="17"/>
      <c r="B532" s="37"/>
      <c r="C532" s="19"/>
      <c r="D532" s="17"/>
      <c r="E532" s="123" t="s">
        <v>81</v>
      </c>
      <c r="F532" s="124"/>
      <c r="G532" s="125"/>
      <c r="H532" s="21"/>
      <c r="I532" s="56"/>
      <c r="J532" s="22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45">
      <c r="A533" s="17">
        <v>5</v>
      </c>
      <c r="B533" s="37" t="s">
        <v>131</v>
      </c>
      <c r="C533" s="86">
        <v>0.1</v>
      </c>
      <c r="D533" s="17">
        <v>10000</v>
      </c>
      <c r="E533" s="23"/>
      <c r="F533" s="23">
        <v>100</v>
      </c>
      <c r="G533" s="23" t="s">
        <v>46</v>
      </c>
      <c r="H533" s="21">
        <v>100</v>
      </c>
      <c r="I533" s="56" t="s">
        <v>46</v>
      </c>
      <c r="J533" s="25">
        <f>(H533/F533)*D533</f>
        <v>10000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45">
      <c r="A534" s="17"/>
      <c r="B534" s="37"/>
      <c r="C534" s="28"/>
      <c r="D534" s="17"/>
      <c r="E534" s="23"/>
      <c r="F534" s="23"/>
      <c r="G534" s="23"/>
      <c r="H534" s="21"/>
      <c r="I534" s="56"/>
      <c r="J534" s="25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45">
      <c r="A535" s="17"/>
      <c r="B535" s="37"/>
      <c r="C535" s="28"/>
      <c r="D535" s="17"/>
      <c r="E535" s="23"/>
      <c r="F535" s="23"/>
      <c r="G535" s="23"/>
      <c r="H535" s="21"/>
      <c r="I535" s="56"/>
      <c r="J535" s="25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45">
      <c r="A536" s="17">
        <v>6</v>
      </c>
      <c r="B536" s="37" t="s">
        <v>132</v>
      </c>
      <c r="C536" s="19"/>
      <c r="D536" s="17"/>
      <c r="E536" s="107" t="s">
        <v>81</v>
      </c>
      <c r="F536" s="102"/>
      <c r="G536" s="103"/>
      <c r="H536" s="21"/>
      <c r="I536" s="56"/>
      <c r="J536" s="22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45">
      <c r="A537" s="17"/>
      <c r="B537" s="39"/>
      <c r="C537" s="86">
        <v>0.08</v>
      </c>
      <c r="D537" s="17">
        <v>8000</v>
      </c>
      <c r="E537" s="23"/>
      <c r="F537" s="23">
        <v>100</v>
      </c>
      <c r="G537" s="23" t="s">
        <v>46</v>
      </c>
      <c r="H537" s="21">
        <v>100</v>
      </c>
      <c r="I537" s="56" t="s">
        <v>46</v>
      </c>
      <c r="J537" s="25">
        <f>(H537/F537)*D537</f>
        <v>8000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45">
      <c r="A538" s="17"/>
      <c r="B538" s="39"/>
      <c r="C538" s="19"/>
      <c r="D538" s="17"/>
      <c r="E538" s="23"/>
      <c r="F538" s="23"/>
      <c r="G538" s="23"/>
      <c r="H538" s="21"/>
      <c r="I538" s="56"/>
      <c r="J538" s="25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45">
      <c r="A539" s="17"/>
      <c r="B539" s="39"/>
      <c r="C539" s="19"/>
      <c r="D539" s="17"/>
      <c r="E539" s="23"/>
      <c r="F539" s="23"/>
      <c r="G539" s="23"/>
      <c r="H539" s="21"/>
      <c r="I539" s="56"/>
      <c r="J539" s="25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45">
      <c r="A540" s="17">
        <v>7</v>
      </c>
      <c r="B540" s="37" t="s">
        <v>88</v>
      </c>
      <c r="C540" s="17" t="s">
        <v>133</v>
      </c>
      <c r="D540" s="17">
        <v>5000</v>
      </c>
      <c r="E540" s="23"/>
      <c r="F540" s="23"/>
      <c r="G540" s="23"/>
      <c r="H540" s="21"/>
      <c r="I540" s="56"/>
      <c r="J540" s="22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45">
      <c r="A541" s="17"/>
      <c r="B541" s="126" t="s">
        <v>89</v>
      </c>
      <c r="C541" s="93"/>
      <c r="D541" s="17"/>
      <c r="E541" s="23" t="s">
        <v>90</v>
      </c>
      <c r="F541" s="23" t="s">
        <v>91</v>
      </c>
      <c r="G541" s="23" t="s">
        <v>92</v>
      </c>
      <c r="H541" s="21"/>
      <c r="I541" s="56"/>
      <c r="J541" s="25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45">
      <c r="A542" s="17"/>
      <c r="B542" s="118"/>
      <c r="C542" s="93"/>
      <c r="D542" s="17"/>
      <c r="E542" s="23" t="s">
        <v>134</v>
      </c>
      <c r="F542" s="23" t="s">
        <v>94</v>
      </c>
      <c r="G542" s="23" t="s">
        <v>95</v>
      </c>
      <c r="H542" s="21"/>
      <c r="I542" s="56"/>
      <c r="J542" s="25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45">
      <c r="A543" s="17"/>
      <c r="B543" s="105"/>
      <c r="C543" s="93"/>
      <c r="D543" s="17">
        <v>2</v>
      </c>
      <c r="E543" s="23">
        <v>2000</v>
      </c>
      <c r="F543" s="23">
        <v>1333</v>
      </c>
      <c r="G543" s="23">
        <v>667</v>
      </c>
      <c r="H543" s="21"/>
      <c r="I543" s="56" t="s">
        <v>96</v>
      </c>
      <c r="J543" s="25">
        <f>IF(H543=0,0,IF(H543&gt;4,E543,IF(H543&gt;=3,F543,IF(H543&lt;=2,G543))))</f>
        <v>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45">
      <c r="A544" s="17"/>
      <c r="B544" s="126" t="s">
        <v>97</v>
      </c>
      <c r="C544" s="93"/>
      <c r="D544" s="17"/>
      <c r="E544" s="23" t="s">
        <v>90</v>
      </c>
      <c r="F544" s="23" t="s">
        <v>91</v>
      </c>
      <c r="G544" s="23" t="s">
        <v>92</v>
      </c>
      <c r="H544" s="21"/>
      <c r="I544" s="56"/>
      <c r="J544" s="25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45">
      <c r="A545" s="17"/>
      <c r="B545" s="118"/>
      <c r="C545" s="93"/>
      <c r="D545" s="17"/>
      <c r="E545" s="23" t="s">
        <v>98</v>
      </c>
      <c r="F545" s="23" t="s">
        <v>99</v>
      </c>
      <c r="G545" s="23" t="s">
        <v>100</v>
      </c>
      <c r="H545" s="21"/>
      <c r="I545" s="56"/>
      <c r="J545" s="25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45">
      <c r="A546" s="17"/>
      <c r="B546" s="105"/>
      <c r="C546" s="93"/>
      <c r="D546" s="17">
        <v>1</v>
      </c>
      <c r="E546" s="23">
        <v>1000</v>
      </c>
      <c r="F546" s="23">
        <v>667</v>
      </c>
      <c r="G546" s="23">
        <v>333</v>
      </c>
      <c r="H546" s="21"/>
      <c r="I546" s="56" t="s">
        <v>101</v>
      </c>
      <c r="J546" s="25">
        <f>IF(H546=0,0,IF(H546&gt;=20,E546,IF(H546&gt;=10,F546,IF(H546&lt;=9,G546))))</f>
        <v>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45">
      <c r="A547" s="17"/>
      <c r="B547" s="126" t="s">
        <v>102</v>
      </c>
      <c r="C547" s="93"/>
      <c r="D547" s="17"/>
      <c r="E547" s="23" t="s">
        <v>90</v>
      </c>
      <c r="F547" s="23" t="s">
        <v>91</v>
      </c>
      <c r="G547" s="23" t="s">
        <v>92</v>
      </c>
      <c r="H547" s="21"/>
      <c r="I547" s="56"/>
      <c r="J547" s="25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45">
      <c r="A548" s="17"/>
      <c r="B548" s="118"/>
      <c r="C548" s="93"/>
      <c r="D548" s="17"/>
      <c r="E548" s="23" t="s">
        <v>103</v>
      </c>
      <c r="F548" s="23" t="s">
        <v>104</v>
      </c>
      <c r="G548" s="23" t="s">
        <v>105</v>
      </c>
      <c r="H548" s="21"/>
      <c r="I548" s="56"/>
      <c r="J548" s="25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45">
      <c r="A549" s="17"/>
      <c r="B549" s="105"/>
      <c r="C549" s="93"/>
      <c r="D549" s="17">
        <v>2</v>
      </c>
      <c r="E549" s="23">
        <v>2000</v>
      </c>
      <c r="F549" s="23">
        <v>1333</v>
      </c>
      <c r="G549" s="23">
        <v>667</v>
      </c>
      <c r="H549" s="21"/>
      <c r="I549" s="56" t="s">
        <v>106</v>
      </c>
      <c r="J549" s="22">
        <f>IF(H549=0,0,IF(H549&gt;=3,E549,IF(H549=2,F549,IF(H549=1,G549))))</f>
        <v>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45">
      <c r="A550" s="17"/>
      <c r="B550" s="50"/>
      <c r="C550" s="17"/>
      <c r="D550" s="17"/>
      <c r="E550" s="19"/>
      <c r="F550" s="19"/>
      <c r="G550" s="19"/>
      <c r="H550" s="21"/>
      <c r="I550" s="22"/>
      <c r="J550" s="25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45">
      <c r="A551" s="17">
        <v>8</v>
      </c>
      <c r="B551" s="34" t="s">
        <v>107</v>
      </c>
      <c r="C551" s="17" t="s">
        <v>135</v>
      </c>
      <c r="D551" s="17">
        <v>10000</v>
      </c>
      <c r="E551" s="17">
        <v>2</v>
      </c>
      <c r="F551" s="17">
        <v>5000</v>
      </c>
      <c r="G551" s="17" t="s">
        <v>45</v>
      </c>
      <c r="H551" s="21">
        <v>5000</v>
      </c>
      <c r="I551" s="56" t="s">
        <v>45</v>
      </c>
      <c r="J551" s="25">
        <f>H551*E551</f>
        <v>10000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45">
      <c r="A552" s="18"/>
      <c r="B552" s="50"/>
      <c r="C552" s="19"/>
      <c r="D552" s="19"/>
      <c r="E552" s="19"/>
      <c r="F552" s="19"/>
      <c r="G552" s="19"/>
      <c r="H552" s="21"/>
      <c r="I552" s="22"/>
      <c r="J552" s="22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45">
      <c r="A553" s="19"/>
      <c r="B553" s="42"/>
      <c r="C553" s="17"/>
      <c r="D553" s="17"/>
      <c r="E553" s="23" t="s">
        <v>90</v>
      </c>
      <c r="F553" s="23" t="s">
        <v>91</v>
      </c>
      <c r="G553" s="23" t="s">
        <v>92</v>
      </c>
      <c r="H553" s="21"/>
      <c r="I553" s="56"/>
      <c r="J553" s="22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45">
      <c r="A554" s="55"/>
      <c r="B554" s="23" t="s">
        <v>108</v>
      </c>
      <c r="C554" s="20"/>
      <c r="D554" s="20"/>
      <c r="E554" s="23">
        <v>5000</v>
      </c>
      <c r="F554" s="23">
        <v>3333</v>
      </c>
      <c r="G554" s="23">
        <v>1667</v>
      </c>
      <c r="H554" s="21"/>
      <c r="I554" s="22"/>
      <c r="J554" s="22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45">
      <c r="A555" s="132">
        <v>1</v>
      </c>
      <c r="B555" s="106" t="s">
        <v>109</v>
      </c>
      <c r="C555" s="68"/>
      <c r="D555" s="68"/>
      <c r="E555" s="67" t="s">
        <v>110</v>
      </c>
      <c r="F555" s="67" t="s">
        <v>111</v>
      </c>
      <c r="G555" s="67" t="s">
        <v>112</v>
      </c>
      <c r="H555" s="69"/>
      <c r="I555" s="74"/>
      <c r="J555" s="74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45">
      <c r="A556" s="105"/>
      <c r="B556" s="105"/>
      <c r="C556" s="17" t="s">
        <v>133</v>
      </c>
      <c r="D556" s="67">
        <v>5000</v>
      </c>
      <c r="E556" s="67">
        <v>5000</v>
      </c>
      <c r="F556" s="67">
        <v>3333</v>
      </c>
      <c r="G556" s="67">
        <v>1667</v>
      </c>
      <c r="H556" s="69">
        <v>10.07</v>
      </c>
      <c r="I556" s="65" t="s">
        <v>136</v>
      </c>
      <c r="J556" s="43">
        <f>IF(H556&gt;=15,E556,IF(H556&gt;=8,F556,IF(H556&gt;=2,G556,IF(H556&lt;2,0))))</f>
        <v>3333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45">
      <c r="A557" s="127">
        <v>2</v>
      </c>
      <c r="B557" s="128" t="s">
        <v>114</v>
      </c>
      <c r="C557" s="68"/>
      <c r="D557" s="67"/>
      <c r="E557" s="129" t="s">
        <v>81</v>
      </c>
      <c r="F557" s="102"/>
      <c r="G557" s="103"/>
      <c r="H557" s="69"/>
      <c r="I557" s="65"/>
      <c r="J557" s="44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45">
      <c r="A558" s="105"/>
      <c r="B558" s="105"/>
      <c r="C558" s="17" t="s">
        <v>133</v>
      </c>
      <c r="D558" s="67">
        <v>5000</v>
      </c>
      <c r="E558" s="63"/>
      <c r="F558" s="63">
        <v>100</v>
      </c>
      <c r="G558" s="63" t="s">
        <v>46</v>
      </c>
      <c r="H558" s="99">
        <f ca="1">IFERROR(__xludf.DUMMYFUNCTION("IMPORTRANGE(""https://docs.google.com/spreadsheets/d/1jbnxRRW3-7RhuTkyglMgsvpBt7ui-HE3C9jpkY9egqs/edit"",""MEI 2021!F34"") "),0.75)</f>
        <v>0.75</v>
      </c>
      <c r="I558" s="65" t="s">
        <v>46</v>
      </c>
      <c r="J558" s="43">
        <f ca="1">H558/F558*D558*100</f>
        <v>3750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45">
      <c r="A559" s="127">
        <v>3</v>
      </c>
      <c r="B559" s="130" t="s">
        <v>115</v>
      </c>
      <c r="C559" s="68"/>
      <c r="D559" s="67"/>
      <c r="E559" s="67" t="s">
        <v>116</v>
      </c>
      <c r="F559" s="67" t="s">
        <v>117</v>
      </c>
      <c r="G559" s="67" t="s">
        <v>118</v>
      </c>
      <c r="H559" s="69"/>
      <c r="I559" s="95"/>
      <c r="J559" s="44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45">
      <c r="A560" s="105"/>
      <c r="B560" s="105"/>
      <c r="C560" s="17" t="s">
        <v>133</v>
      </c>
      <c r="D560" s="67">
        <v>5000</v>
      </c>
      <c r="E560" s="67">
        <v>5000</v>
      </c>
      <c r="F560" s="67">
        <v>2500</v>
      </c>
      <c r="G560" s="67">
        <v>0</v>
      </c>
      <c r="H560" s="69"/>
      <c r="I560" s="95" t="s">
        <v>137</v>
      </c>
      <c r="J560" s="43">
        <f>IF(H560&gt;=2,E560,IF(H560=1,F560,IF(H560=0,0)))</f>
        <v>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45">
      <c r="A561" s="96"/>
      <c r="B561" s="62"/>
      <c r="C561" s="97"/>
      <c r="D561" s="67"/>
      <c r="E561" s="67"/>
      <c r="F561" s="67"/>
      <c r="G561" s="67"/>
      <c r="H561" s="69"/>
      <c r="I561" s="74"/>
      <c r="J561" s="74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7">
      <c r="A562" s="96"/>
      <c r="B562" s="62"/>
      <c r="C562" s="97">
        <v>1</v>
      </c>
      <c r="D562" s="67"/>
      <c r="E562" s="67"/>
      <c r="F562" s="67"/>
      <c r="G562" s="67"/>
      <c r="H562" s="131" t="s">
        <v>44</v>
      </c>
      <c r="I562" s="125"/>
      <c r="J562" s="100" t="e">
        <f ca="1">SUM(J494:J561)</f>
        <v>#VALUE!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5">
      <c r="A566" s="115" t="s">
        <v>50</v>
      </c>
      <c r="B566" s="101"/>
      <c r="C566" s="11"/>
      <c r="D566" s="11"/>
      <c r="E566" s="11"/>
      <c r="F566" s="11"/>
      <c r="G566" s="11"/>
      <c r="H566" s="11"/>
      <c r="I566" s="116">
        <v>44348</v>
      </c>
      <c r="J566" s="114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5">
      <c r="A567" s="8" t="s">
        <v>51</v>
      </c>
      <c r="B567" s="8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55000000000000004">
      <c r="A570" s="11"/>
      <c r="B570" s="12" t="s">
        <v>144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3">
      <c r="A571" s="13" t="s">
        <v>4</v>
      </c>
      <c r="B571" s="13" t="s">
        <v>5</v>
      </c>
      <c r="C571" s="13" t="s">
        <v>6</v>
      </c>
      <c r="D571" s="13" t="s">
        <v>7</v>
      </c>
      <c r="E571" s="14" t="s">
        <v>9</v>
      </c>
      <c r="F571" s="14" t="s">
        <v>47</v>
      </c>
      <c r="G571" s="14" t="s">
        <v>11</v>
      </c>
      <c r="H571" s="15" t="s">
        <v>48</v>
      </c>
      <c r="I571" s="15" t="s">
        <v>11</v>
      </c>
      <c r="J571" s="15" t="s">
        <v>49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45">
      <c r="A572" s="50"/>
      <c r="B572" s="50"/>
      <c r="C572" s="51"/>
      <c r="D572" s="51"/>
      <c r="E572" s="52"/>
      <c r="F572" s="52"/>
      <c r="G572" s="52"/>
      <c r="H572" s="53"/>
      <c r="I572" s="53"/>
      <c r="J572" s="54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45">
      <c r="A573" s="55"/>
      <c r="B573" s="23" t="s">
        <v>53</v>
      </c>
      <c r="C573" s="20"/>
      <c r="D573" s="19"/>
      <c r="E573" s="20"/>
      <c r="F573" s="20"/>
      <c r="G573" s="20"/>
      <c r="H573" s="21"/>
      <c r="I573" s="56"/>
      <c r="J573" s="22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45">
      <c r="A574" s="17">
        <v>1</v>
      </c>
      <c r="B574" s="18" t="s">
        <v>54</v>
      </c>
      <c r="C574" s="57">
        <v>2.5000000000000001E-2</v>
      </c>
      <c r="D574" s="58">
        <f t="shared" ref="D574:D575" si="33">100000*C574</f>
        <v>2500</v>
      </c>
      <c r="E574" s="59">
        <f t="shared" ref="E574:E575" si="34">D574/26</f>
        <v>96.15384615384616</v>
      </c>
      <c r="F574" s="23">
        <v>0</v>
      </c>
      <c r="G574" s="23" t="s">
        <v>55</v>
      </c>
      <c r="H574" s="21">
        <v>0</v>
      </c>
      <c r="I574" s="56" t="s">
        <v>55</v>
      </c>
      <c r="J574" s="60">
        <f t="shared" ref="J574:J575" si="35">(26-H574)*E574</f>
        <v>2500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45">
      <c r="A575" s="61">
        <v>2</v>
      </c>
      <c r="B575" s="62" t="s">
        <v>56</v>
      </c>
      <c r="C575" s="57">
        <v>2.5000000000000001E-2</v>
      </c>
      <c r="D575" s="58">
        <f t="shared" si="33"/>
        <v>2500</v>
      </c>
      <c r="E575" s="59">
        <f t="shared" si="34"/>
        <v>96.15384615384616</v>
      </c>
      <c r="F575" s="63">
        <v>0</v>
      </c>
      <c r="G575" s="63" t="s">
        <v>57</v>
      </c>
      <c r="H575" s="69">
        <v>0</v>
      </c>
      <c r="I575" s="65" t="s">
        <v>57</v>
      </c>
      <c r="J575" s="60">
        <f t="shared" si="35"/>
        <v>2500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45">
      <c r="A576" s="61"/>
      <c r="B576" s="66">
        <v>0.05</v>
      </c>
      <c r="C576" s="67"/>
      <c r="D576" s="68"/>
      <c r="E576" s="63"/>
      <c r="F576" s="63"/>
      <c r="G576" s="63"/>
      <c r="H576" s="69"/>
      <c r="I576" s="65"/>
      <c r="J576" s="70" t="s">
        <v>36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45">
      <c r="A577" s="71"/>
      <c r="B577" s="63" t="s">
        <v>14</v>
      </c>
      <c r="C577" s="72"/>
      <c r="D577" s="72"/>
      <c r="E577" s="72"/>
      <c r="F577" s="72"/>
      <c r="G577" s="72"/>
      <c r="H577" s="69"/>
      <c r="I577" s="73"/>
      <c r="J577" s="74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45">
      <c r="A578" s="61">
        <v>1</v>
      </c>
      <c r="B578" s="75" t="s">
        <v>124</v>
      </c>
      <c r="C578" s="67" t="s">
        <v>125</v>
      </c>
      <c r="D578" s="67">
        <v>15000</v>
      </c>
      <c r="E578" s="63"/>
      <c r="F578" s="63"/>
      <c r="G578" s="63"/>
      <c r="H578" s="69"/>
      <c r="I578" s="65"/>
      <c r="J578" s="74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45">
      <c r="A579" s="61"/>
      <c r="B579" s="75"/>
      <c r="C579" s="76" t="s">
        <v>59</v>
      </c>
      <c r="D579" s="67"/>
      <c r="E579" s="63">
        <v>12</v>
      </c>
      <c r="F579" s="63">
        <v>1000</v>
      </c>
      <c r="G579" s="63" t="s">
        <v>45</v>
      </c>
      <c r="H579" s="69"/>
      <c r="I579" s="65" t="s">
        <v>45</v>
      </c>
      <c r="J579" s="78">
        <f t="shared" ref="J579:J584" si="36">H579*E579</f>
        <v>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45">
      <c r="A580" s="61"/>
      <c r="B580" s="75"/>
      <c r="C580" s="76" t="s">
        <v>61</v>
      </c>
      <c r="D580" s="67"/>
      <c r="E580" s="63">
        <v>21</v>
      </c>
      <c r="F580" s="63">
        <v>1000</v>
      </c>
      <c r="G580" s="63" t="s">
        <v>45</v>
      </c>
      <c r="H580" s="69"/>
      <c r="I580" s="65" t="s">
        <v>45</v>
      </c>
      <c r="J580" s="78">
        <f t="shared" si="36"/>
        <v>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45">
      <c r="A581" s="61"/>
      <c r="B581" s="75"/>
      <c r="C581" s="76" t="s">
        <v>126</v>
      </c>
      <c r="D581" s="67"/>
      <c r="E581" s="63"/>
      <c r="F581" s="63">
        <v>1000</v>
      </c>
      <c r="G581" s="63" t="s">
        <v>45</v>
      </c>
      <c r="H581" s="69"/>
      <c r="I581" s="65" t="s">
        <v>45</v>
      </c>
      <c r="J581" s="78">
        <f t="shared" si="36"/>
        <v>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45">
      <c r="A582" s="61"/>
      <c r="B582" s="75"/>
      <c r="C582" s="76" t="s">
        <v>127</v>
      </c>
      <c r="D582" s="67"/>
      <c r="E582" s="63"/>
      <c r="F582" s="63">
        <v>1000</v>
      </c>
      <c r="G582" s="63" t="s">
        <v>45</v>
      </c>
      <c r="H582" s="69"/>
      <c r="I582" s="65" t="s">
        <v>45</v>
      </c>
      <c r="J582" s="78">
        <f t="shared" si="36"/>
        <v>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45">
      <c r="A583" s="61"/>
      <c r="B583" s="75"/>
      <c r="C583" s="76" t="s">
        <v>128</v>
      </c>
      <c r="D583" s="67"/>
      <c r="E583" s="63"/>
      <c r="F583" s="63">
        <v>1000</v>
      </c>
      <c r="G583" s="63" t="s">
        <v>45</v>
      </c>
      <c r="H583" s="69"/>
      <c r="I583" s="65" t="s">
        <v>45</v>
      </c>
      <c r="J583" s="78">
        <f t="shared" si="36"/>
        <v>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45">
      <c r="A584" s="61"/>
      <c r="B584" s="75"/>
      <c r="C584" s="76" t="s">
        <v>141</v>
      </c>
      <c r="D584" s="67"/>
      <c r="E584" s="63"/>
      <c r="F584" s="63">
        <v>1000</v>
      </c>
      <c r="G584" s="63" t="s">
        <v>45</v>
      </c>
      <c r="H584" s="69"/>
      <c r="I584" s="65" t="s">
        <v>45</v>
      </c>
      <c r="J584" s="78">
        <f t="shared" si="36"/>
        <v>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45">
      <c r="A585" s="79"/>
      <c r="B585" s="80"/>
      <c r="C585" s="81"/>
      <c r="D585" s="82"/>
      <c r="E585" s="82"/>
      <c r="F585" s="82"/>
      <c r="G585" s="82"/>
      <c r="H585" s="83"/>
      <c r="I585" s="82"/>
      <c r="J585" s="83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45">
      <c r="A586" s="61"/>
      <c r="B586" s="75"/>
      <c r="C586" s="76" t="s">
        <v>65</v>
      </c>
      <c r="D586" s="67"/>
      <c r="E586" s="63">
        <v>20</v>
      </c>
      <c r="F586" s="63">
        <v>1000</v>
      </c>
      <c r="G586" s="63" t="s">
        <v>45</v>
      </c>
      <c r="H586" s="69"/>
      <c r="I586" s="65" t="s">
        <v>45</v>
      </c>
      <c r="J586" s="78">
        <f t="shared" ref="J586:J600" si="37">H586*E586</f>
        <v>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45">
      <c r="A587" s="61"/>
      <c r="B587" s="76"/>
      <c r="C587" s="76" t="s">
        <v>66</v>
      </c>
      <c r="D587" s="68"/>
      <c r="E587" s="63">
        <v>6</v>
      </c>
      <c r="F587" s="63">
        <v>5000</v>
      </c>
      <c r="G587" s="63" t="s">
        <v>45</v>
      </c>
      <c r="H587" s="69"/>
      <c r="I587" s="65" t="s">
        <v>45</v>
      </c>
      <c r="J587" s="78">
        <f t="shared" si="37"/>
        <v>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45">
      <c r="A588" s="61"/>
      <c r="B588" s="76"/>
      <c r="C588" s="76" t="s">
        <v>67</v>
      </c>
      <c r="D588" s="68"/>
      <c r="E588" s="63">
        <v>10</v>
      </c>
      <c r="F588" s="63">
        <v>2500</v>
      </c>
      <c r="G588" s="63" t="s">
        <v>45</v>
      </c>
      <c r="H588" s="69" t="str">
        <f ca="1">IFERROR(__xludf.DUMMYFUNCTION("IMPORTRANGE(""https://docs.google.com/spreadsheets/d/1hwN0dIusdEsUaqLhXW3aqqlGn-ck59RgHq1jH9G8a2E/edit"",""ADV RIFQY!K45"") -10"),"#REF!")</f>
        <v>#REF!</v>
      </c>
      <c r="I588" s="65" t="s">
        <v>45</v>
      </c>
      <c r="J588" s="78" t="e">
        <f t="shared" ca="1" si="37"/>
        <v>#VALUE!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45">
      <c r="A589" s="61"/>
      <c r="B589" s="76"/>
      <c r="C589" s="76" t="s">
        <v>68</v>
      </c>
      <c r="D589" s="68"/>
      <c r="E589" s="63">
        <v>25</v>
      </c>
      <c r="F589" s="63">
        <v>1000</v>
      </c>
      <c r="G589" s="63" t="s">
        <v>45</v>
      </c>
      <c r="H589" s="69"/>
      <c r="I589" s="65" t="s">
        <v>45</v>
      </c>
      <c r="J589" s="78">
        <f t="shared" si="37"/>
        <v>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45">
      <c r="A590" s="61"/>
      <c r="B590" s="76"/>
      <c r="C590" s="76" t="s">
        <v>69</v>
      </c>
      <c r="D590" s="68"/>
      <c r="E590" s="63">
        <v>6</v>
      </c>
      <c r="F590" s="63">
        <v>5000</v>
      </c>
      <c r="G590" s="63" t="s">
        <v>45</v>
      </c>
      <c r="H590" s="69"/>
      <c r="I590" s="65" t="s">
        <v>45</v>
      </c>
      <c r="J590" s="78">
        <f t="shared" si="37"/>
        <v>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45">
      <c r="A591" s="61"/>
      <c r="B591" s="76"/>
      <c r="C591" s="76" t="s">
        <v>70</v>
      </c>
      <c r="D591" s="68"/>
      <c r="E591" s="63">
        <v>10</v>
      </c>
      <c r="F591" s="63">
        <v>2500</v>
      </c>
      <c r="G591" s="63" t="s">
        <v>45</v>
      </c>
      <c r="H591" s="69"/>
      <c r="I591" s="65" t="s">
        <v>45</v>
      </c>
      <c r="J591" s="78">
        <f t="shared" si="37"/>
        <v>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45">
      <c r="A592" s="61"/>
      <c r="B592" s="76"/>
      <c r="C592" s="76" t="s">
        <v>71</v>
      </c>
      <c r="D592" s="68"/>
      <c r="E592" s="63">
        <v>10</v>
      </c>
      <c r="F592" s="63">
        <v>2500</v>
      </c>
      <c r="G592" s="63" t="s">
        <v>45</v>
      </c>
      <c r="H592" s="69"/>
      <c r="I592" s="65" t="s">
        <v>45</v>
      </c>
      <c r="J592" s="78">
        <f t="shared" si="37"/>
        <v>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45">
      <c r="A593" s="61"/>
      <c r="B593" s="76"/>
      <c r="C593" s="76" t="s">
        <v>72</v>
      </c>
      <c r="D593" s="68"/>
      <c r="E593" s="63">
        <v>6</v>
      </c>
      <c r="F593" s="63">
        <v>5000</v>
      </c>
      <c r="G593" s="63" t="s">
        <v>45</v>
      </c>
      <c r="H593" s="69"/>
      <c r="I593" s="65" t="s">
        <v>45</v>
      </c>
      <c r="J593" s="78">
        <f t="shared" si="37"/>
        <v>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45">
      <c r="A594" s="61"/>
      <c r="B594" s="76"/>
      <c r="C594" s="76" t="s">
        <v>73</v>
      </c>
      <c r="D594" s="68"/>
      <c r="E594" s="63">
        <v>20</v>
      </c>
      <c r="F594" s="63">
        <v>1200</v>
      </c>
      <c r="G594" s="63" t="s">
        <v>45</v>
      </c>
      <c r="H594" s="69"/>
      <c r="I594" s="65" t="s">
        <v>45</v>
      </c>
      <c r="J594" s="78">
        <f t="shared" si="37"/>
        <v>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45">
      <c r="A595" s="61"/>
      <c r="B595" s="76"/>
      <c r="C595" s="76" t="s">
        <v>74</v>
      </c>
      <c r="D595" s="68"/>
      <c r="E595" s="63">
        <v>6</v>
      </c>
      <c r="F595" s="63">
        <v>5000</v>
      </c>
      <c r="G595" s="63" t="s">
        <v>45</v>
      </c>
      <c r="H595" s="69"/>
      <c r="I595" s="65" t="s">
        <v>45</v>
      </c>
      <c r="J595" s="78">
        <f t="shared" si="37"/>
        <v>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45">
      <c r="A596" s="61"/>
      <c r="B596" s="76"/>
      <c r="C596" s="76" t="s">
        <v>75</v>
      </c>
      <c r="D596" s="68"/>
      <c r="E596" s="63">
        <v>12</v>
      </c>
      <c r="F596" s="63">
        <v>2000</v>
      </c>
      <c r="G596" s="63" t="s">
        <v>45</v>
      </c>
      <c r="H596" s="69"/>
      <c r="I596" s="65" t="s">
        <v>45</v>
      </c>
      <c r="J596" s="78">
        <f t="shared" si="37"/>
        <v>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45">
      <c r="A597" s="61"/>
      <c r="B597" s="76"/>
      <c r="C597" s="76" t="s">
        <v>76</v>
      </c>
      <c r="D597" s="68"/>
      <c r="E597" s="63">
        <v>5</v>
      </c>
      <c r="F597" s="63">
        <v>7000</v>
      </c>
      <c r="G597" s="63" t="s">
        <v>45</v>
      </c>
      <c r="H597" s="69"/>
      <c r="I597" s="65" t="s">
        <v>45</v>
      </c>
      <c r="J597" s="78">
        <f t="shared" si="37"/>
        <v>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45">
      <c r="A598" s="61"/>
      <c r="B598" s="76"/>
      <c r="C598" s="76" t="s">
        <v>77</v>
      </c>
      <c r="D598" s="68"/>
      <c r="E598" s="63">
        <v>25</v>
      </c>
      <c r="F598" s="63">
        <v>1000</v>
      </c>
      <c r="G598" s="63" t="s">
        <v>45</v>
      </c>
      <c r="H598" s="69"/>
      <c r="I598" s="65" t="s">
        <v>45</v>
      </c>
      <c r="J598" s="78">
        <f t="shared" si="37"/>
        <v>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45">
      <c r="A599" s="17"/>
      <c r="B599" s="84"/>
      <c r="C599" s="28" t="s">
        <v>78</v>
      </c>
      <c r="D599" s="19"/>
      <c r="E599" s="23">
        <v>5</v>
      </c>
      <c r="F599" s="23">
        <v>7000</v>
      </c>
      <c r="G599" s="23" t="s">
        <v>45</v>
      </c>
      <c r="H599" s="21"/>
      <c r="I599" s="56" t="s">
        <v>45</v>
      </c>
      <c r="J599" s="78">
        <f t="shared" si="37"/>
        <v>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45">
      <c r="A600" s="17"/>
      <c r="B600" s="84"/>
      <c r="C600" s="28" t="s">
        <v>79</v>
      </c>
      <c r="D600" s="19"/>
      <c r="E600" s="23">
        <v>20</v>
      </c>
      <c r="F600" s="23">
        <v>1200</v>
      </c>
      <c r="G600" s="23" t="s">
        <v>45</v>
      </c>
      <c r="H600" s="21"/>
      <c r="I600" s="56" t="s">
        <v>45</v>
      </c>
      <c r="J600" s="78">
        <f t="shared" si="37"/>
        <v>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45">
      <c r="A601" s="17"/>
      <c r="B601" s="37"/>
      <c r="C601" s="19"/>
      <c r="D601" s="17"/>
      <c r="E601" s="107" t="s">
        <v>81</v>
      </c>
      <c r="F601" s="102"/>
      <c r="G601" s="103"/>
      <c r="H601" s="21"/>
      <c r="I601" s="56"/>
      <c r="J601" s="22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45">
      <c r="A602" s="17">
        <v>2</v>
      </c>
      <c r="B602" s="37" t="s">
        <v>80</v>
      </c>
      <c r="C602" s="86">
        <v>7.0000000000000007E-2</v>
      </c>
      <c r="D602" s="17">
        <v>7000</v>
      </c>
      <c r="E602" s="23"/>
      <c r="F602" s="23">
        <v>100</v>
      </c>
      <c r="G602" s="23" t="s">
        <v>46</v>
      </c>
      <c r="H602" s="21">
        <v>100</v>
      </c>
      <c r="I602" s="56" t="s">
        <v>46</v>
      </c>
      <c r="J602" s="25">
        <f>(H602/F602)*D602</f>
        <v>7000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45">
      <c r="A603" s="17"/>
      <c r="B603" s="39"/>
      <c r="C603" s="19"/>
      <c r="D603" s="17"/>
      <c r="E603" s="23"/>
      <c r="F603" s="23"/>
      <c r="G603" s="23"/>
      <c r="H603" s="21"/>
      <c r="I603" s="56"/>
      <c r="J603" s="25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45">
      <c r="A604" s="17">
        <v>3</v>
      </c>
      <c r="B604" s="37" t="s">
        <v>82</v>
      </c>
      <c r="C604" s="86">
        <v>0.2</v>
      </c>
      <c r="D604" s="17">
        <v>20000</v>
      </c>
      <c r="E604" s="23"/>
      <c r="F604" s="23"/>
      <c r="G604" s="23"/>
      <c r="H604" s="21"/>
      <c r="I604" s="56"/>
      <c r="J604" s="25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45">
      <c r="A605" s="17"/>
      <c r="B605" s="37" t="s">
        <v>83</v>
      </c>
      <c r="C605" s="28"/>
      <c r="D605" s="17"/>
      <c r="E605" s="23">
        <v>40</v>
      </c>
      <c r="F605" s="23">
        <v>500</v>
      </c>
      <c r="G605" s="23"/>
      <c r="H605" s="21"/>
      <c r="I605" s="56" t="s">
        <v>45</v>
      </c>
      <c r="J605" s="25">
        <f t="shared" ref="J605:J607" si="38">IF(H605&lt;=500,(H605*E605),IF(H605&gt;500,20000))</f>
        <v>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45">
      <c r="A606" s="17"/>
      <c r="B606" s="37" t="s">
        <v>84</v>
      </c>
      <c r="C606" s="28"/>
      <c r="D606" s="17"/>
      <c r="E606" s="23">
        <v>40</v>
      </c>
      <c r="F606" s="23">
        <v>500</v>
      </c>
      <c r="G606" s="23"/>
      <c r="H606" s="21"/>
      <c r="I606" s="56" t="s">
        <v>45</v>
      </c>
      <c r="J606" s="25">
        <f t="shared" si="38"/>
        <v>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45">
      <c r="A607" s="17"/>
      <c r="B607" s="37" t="s">
        <v>85</v>
      </c>
      <c r="C607" s="28"/>
      <c r="D607" s="17"/>
      <c r="E607" s="87">
        <v>40</v>
      </c>
      <c r="F607" s="87">
        <v>500</v>
      </c>
      <c r="G607" s="87"/>
      <c r="H607" s="21"/>
      <c r="I607" s="56" t="s">
        <v>45</v>
      </c>
      <c r="J607" s="25">
        <f t="shared" si="38"/>
        <v>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45">
      <c r="A608" s="17"/>
      <c r="B608" s="37"/>
      <c r="C608" s="19"/>
      <c r="D608" s="88"/>
      <c r="E608" s="89"/>
      <c r="F608" s="90"/>
      <c r="G608" s="91"/>
      <c r="H608" s="92"/>
      <c r="I608" s="56"/>
      <c r="J608" s="22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45">
      <c r="A609" s="17"/>
      <c r="B609" s="37"/>
      <c r="C609" s="19"/>
      <c r="D609" s="17"/>
      <c r="E609" s="123" t="s">
        <v>81</v>
      </c>
      <c r="F609" s="124"/>
      <c r="G609" s="125"/>
      <c r="H609" s="21"/>
      <c r="I609" s="56"/>
      <c r="J609" s="22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45">
      <c r="A610" s="17">
        <v>4</v>
      </c>
      <c r="B610" s="37" t="s">
        <v>130</v>
      </c>
      <c r="C610" s="86">
        <v>0.05</v>
      </c>
      <c r="D610" s="17">
        <v>5000</v>
      </c>
      <c r="E610" s="87"/>
      <c r="F610" s="87">
        <v>100</v>
      </c>
      <c r="G610" s="87" t="s">
        <v>46</v>
      </c>
      <c r="H610" s="21">
        <v>100</v>
      </c>
      <c r="I610" s="56" t="s">
        <v>46</v>
      </c>
      <c r="J610" s="25">
        <f>(H610/F610)*D610</f>
        <v>5000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45">
      <c r="A611" s="17"/>
      <c r="B611" s="37"/>
      <c r="C611" s="19"/>
      <c r="D611" s="88"/>
      <c r="E611" s="89"/>
      <c r="F611" s="90"/>
      <c r="G611" s="91"/>
      <c r="H611" s="92"/>
      <c r="I611" s="56"/>
      <c r="J611" s="22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45">
      <c r="A612" s="17"/>
      <c r="B612" s="37"/>
      <c r="C612" s="19"/>
      <c r="D612" s="17"/>
      <c r="E612" s="123" t="s">
        <v>81</v>
      </c>
      <c r="F612" s="124"/>
      <c r="G612" s="125"/>
      <c r="H612" s="21"/>
      <c r="I612" s="56"/>
      <c r="J612" s="22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45">
      <c r="A613" s="17">
        <v>5</v>
      </c>
      <c r="B613" s="37" t="s">
        <v>131</v>
      </c>
      <c r="C613" s="86">
        <v>0.1</v>
      </c>
      <c r="D613" s="17">
        <v>10000</v>
      </c>
      <c r="E613" s="23"/>
      <c r="F613" s="23">
        <v>100</v>
      </c>
      <c r="G613" s="23" t="s">
        <v>46</v>
      </c>
      <c r="H613" s="21">
        <v>100</v>
      </c>
      <c r="I613" s="56" t="s">
        <v>46</v>
      </c>
      <c r="J613" s="25">
        <f>(H613/F613)*D613</f>
        <v>10000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45">
      <c r="A614" s="17"/>
      <c r="B614" s="37"/>
      <c r="C614" s="28"/>
      <c r="D614" s="17"/>
      <c r="E614" s="23"/>
      <c r="F614" s="23"/>
      <c r="G614" s="23"/>
      <c r="H614" s="21"/>
      <c r="I614" s="56"/>
      <c r="J614" s="25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45">
      <c r="A615" s="17"/>
      <c r="B615" s="37"/>
      <c r="C615" s="28"/>
      <c r="D615" s="17"/>
      <c r="E615" s="23"/>
      <c r="F615" s="23"/>
      <c r="G615" s="23"/>
      <c r="H615" s="21"/>
      <c r="I615" s="56"/>
      <c r="J615" s="25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45">
      <c r="A616" s="17">
        <v>6</v>
      </c>
      <c r="B616" s="37" t="s">
        <v>132</v>
      </c>
      <c r="C616" s="19"/>
      <c r="D616" s="17"/>
      <c r="E616" s="107" t="s">
        <v>81</v>
      </c>
      <c r="F616" s="102"/>
      <c r="G616" s="103"/>
      <c r="H616" s="21"/>
      <c r="I616" s="56"/>
      <c r="J616" s="22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45">
      <c r="A617" s="17"/>
      <c r="B617" s="39"/>
      <c r="C617" s="86">
        <v>0.08</v>
      </c>
      <c r="D617" s="17">
        <v>8000</v>
      </c>
      <c r="E617" s="23"/>
      <c r="F617" s="23">
        <v>100</v>
      </c>
      <c r="G617" s="23" t="s">
        <v>46</v>
      </c>
      <c r="H617" s="21">
        <v>100</v>
      </c>
      <c r="I617" s="56" t="s">
        <v>46</v>
      </c>
      <c r="J617" s="25">
        <f>(H617/F617)*D617</f>
        <v>8000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45">
      <c r="A618" s="17"/>
      <c r="B618" s="39"/>
      <c r="C618" s="19"/>
      <c r="D618" s="17"/>
      <c r="E618" s="23"/>
      <c r="F618" s="23"/>
      <c r="G618" s="23"/>
      <c r="H618" s="21"/>
      <c r="I618" s="56"/>
      <c r="J618" s="25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45">
      <c r="A619" s="17"/>
      <c r="B619" s="39"/>
      <c r="C619" s="19"/>
      <c r="D619" s="17"/>
      <c r="E619" s="23"/>
      <c r="F619" s="23"/>
      <c r="G619" s="23"/>
      <c r="H619" s="21"/>
      <c r="I619" s="56"/>
      <c r="J619" s="25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45">
      <c r="A620" s="17">
        <v>7</v>
      </c>
      <c r="B620" s="37" t="s">
        <v>88</v>
      </c>
      <c r="C620" s="17" t="s">
        <v>133</v>
      </c>
      <c r="D620" s="17">
        <v>5000</v>
      </c>
      <c r="E620" s="23"/>
      <c r="F620" s="23"/>
      <c r="G620" s="23"/>
      <c r="H620" s="21"/>
      <c r="I620" s="56"/>
      <c r="J620" s="22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45">
      <c r="A621" s="17"/>
      <c r="B621" s="126" t="s">
        <v>89</v>
      </c>
      <c r="C621" s="93"/>
      <c r="D621" s="17"/>
      <c r="E621" s="23" t="s">
        <v>90</v>
      </c>
      <c r="F621" s="23" t="s">
        <v>91</v>
      </c>
      <c r="G621" s="23" t="s">
        <v>92</v>
      </c>
      <c r="H621" s="21"/>
      <c r="I621" s="56"/>
      <c r="J621" s="25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45">
      <c r="A622" s="17"/>
      <c r="B622" s="118"/>
      <c r="C622" s="93"/>
      <c r="D622" s="17"/>
      <c r="E622" s="23" t="s">
        <v>134</v>
      </c>
      <c r="F622" s="23" t="s">
        <v>94</v>
      </c>
      <c r="G622" s="23" t="s">
        <v>95</v>
      </c>
      <c r="H622" s="21"/>
      <c r="I622" s="56"/>
      <c r="J622" s="25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45">
      <c r="A623" s="17"/>
      <c r="B623" s="105"/>
      <c r="C623" s="93"/>
      <c r="D623" s="17">
        <v>2</v>
      </c>
      <c r="E623" s="23">
        <v>2000</v>
      </c>
      <c r="F623" s="23">
        <v>1333</v>
      </c>
      <c r="G623" s="23">
        <v>667</v>
      </c>
      <c r="H623" s="21"/>
      <c r="I623" s="56" t="s">
        <v>96</v>
      </c>
      <c r="J623" s="25">
        <f>IF(H623=0,0,IF(H623&gt;4,E623,IF(H623&gt;=3,F623,IF(H623&lt;=2,G623))))</f>
        <v>0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45">
      <c r="A624" s="17"/>
      <c r="B624" s="126" t="s">
        <v>97</v>
      </c>
      <c r="C624" s="93"/>
      <c r="D624" s="17"/>
      <c r="E624" s="23" t="s">
        <v>90</v>
      </c>
      <c r="F624" s="23" t="s">
        <v>91</v>
      </c>
      <c r="G624" s="23" t="s">
        <v>92</v>
      </c>
      <c r="H624" s="21"/>
      <c r="I624" s="56"/>
      <c r="J624" s="25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45">
      <c r="A625" s="17"/>
      <c r="B625" s="118"/>
      <c r="C625" s="93"/>
      <c r="D625" s="17"/>
      <c r="E625" s="23" t="s">
        <v>98</v>
      </c>
      <c r="F625" s="23" t="s">
        <v>99</v>
      </c>
      <c r="G625" s="23" t="s">
        <v>100</v>
      </c>
      <c r="H625" s="21"/>
      <c r="I625" s="56"/>
      <c r="J625" s="25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45">
      <c r="A626" s="17"/>
      <c r="B626" s="105"/>
      <c r="C626" s="93"/>
      <c r="D626" s="17">
        <v>1</v>
      </c>
      <c r="E626" s="23">
        <v>1000</v>
      </c>
      <c r="F626" s="23">
        <v>667</v>
      </c>
      <c r="G626" s="23">
        <v>333</v>
      </c>
      <c r="H626" s="21"/>
      <c r="I626" s="56" t="s">
        <v>101</v>
      </c>
      <c r="J626" s="25">
        <f>IF(H626=0,0,IF(H626&gt;=20,E626,IF(H626&gt;=10,F626,IF(H626&lt;=9,G626))))</f>
        <v>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45">
      <c r="A627" s="17"/>
      <c r="B627" s="126" t="s">
        <v>102</v>
      </c>
      <c r="C627" s="93"/>
      <c r="D627" s="17"/>
      <c r="E627" s="23" t="s">
        <v>90</v>
      </c>
      <c r="F627" s="23" t="s">
        <v>91</v>
      </c>
      <c r="G627" s="23" t="s">
        <v>92</v>
      </c>
      <c r="H627" s="21"/>
      <c r="I627" s="56"/>
      <c r="J627" s="25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45">
      <c r="A628" s="17"/>
      <c r="B628" s="118"/>
      <c r="C628" s="93"/>
      <c r="D628" s="17"/>
      <c r="E628" s="23" t="s">
        <v>103</v>
      </c>
      <c r="F628" s="23" t="s">
        <v>104</v>
      </c>
      <c r="G628" s="23" t="s">
        <v>105</v>
      </c>
      <c r="H628" s="21"/>
      <c r="I628" s="56"/>
      <c r="J628" s="25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45">
      <c r="A629" s="17"/>
      <c r="B629" s="105"/>
      <c r="C629" s="93"/>
      <c r="D629" s="17">
        <v>2</v>
      </c>
      <c r="E629" s="23">
        <v>2000</v>
      </c>
      <c r="F629" s="23">
        <v>1333</v>
      </c>
      <c r="G629" s="23">
        <v>667</v>
      </c>
      <c r="H629" s="21"/>
      <c r="I629" s="56" t="s">
        <v>106</v>
      </c>
      <c r="J629" s="22">
        <f>IF(H629=0,0,IF(H629&gt;=3,E629,IF(H629=2,F629,IF(H629=1,G629))))</f>
        <v>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45">
      <c r="A630" s="17"/>
      <c r="B630" s="50"/>
      <c r="C630" s="17"/>
      <c r="D630" s="17"/>
      <c r="E630" s="19"/>
      <c r="F630" s="19"/>
      <c r="G630" s="19"/>
      <c r="H630" s="21"/>
      <c r="I630" s="22"/>
      <c r="J630" s="25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45">
      <c r="A631" s="17">
        <v>8</v>
      </c>
      <c r="B631" s="34" t="s">
        <v>107</v>
      </c>
      <c r="C631" s="17" t="s">
        <v>135</v>
      </c>
      <c r="D631" s="17">
        <v>10000</v>
      </c>
      <c r="E631" s="17">
        <v>2</v>
      </c>
      <c r="F631" s="17">
        <v>5000</v>
      </c>
      <c r="G631" s="17" t="s">
        <v>45</v>
      </c>
      <c r="H631" s="21">
        <v>5000</v>
      </c>
      <c r="I631" s="56" t="s">
        <v>45</v>
      </c>
      <c r="J631" s="25">
        <f>H631*E631</f>
        <v>10000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45">
      <c r="A632" s="18"/>
      <c r="B632" s="50"/>
      <c r="C632" s="19"/>
      <c r="D632" s="19"/>
      <c r="E632" s="19"/>
      <c r="F632" s="19"/>
      <c r="G632" s="19"/>
      <c r="H632" s="21"/>
      <c r="I632" s="22"/>
      <c r="J632" s="22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45">
      <c r="A633" s="19"/>
      <c r="B633" s="42"/>
      <c r="C633" s="17"/>
      <c r="D633" s="17"/>
      <c r="E633" s="23" t="s">
        <v>90</v>
      </c>
      <c r="F633" s="23" t="s">
        <v>91</v>
      </c>
      <c r="G633" s="23" t="s">
        <v>92</v>
      </c>
      <c r="H633" s="21"/>
      <c r="I633" s="56"/>
      <c r="J633" s="22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45">
      <c r="A634" s="55"/>
      <c r="B634" s="23" t="s">
        <v>108</v>
      </c>
      <c r="C634" s="20"/>
      <c r="D634" s="20"/>
      <c r="E634" s="23">
        <v>5000</v>
      </c>
      <c r="F634" s="23">
        <v>3333</v>
      </c>
      <c r="G634" s="23">
        <v>1667</v>
      </c>
      <c r="H634" s="21"/>
      <c r="I634" s="22"/>
      <c r="J634" s="22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45">
      <c r="A635" s="132">
        <v>1</v>
      </c>
      <c r="B635" s="106" t="s">
        <v>109</v>
      </c>
      <c r="C635" s="68"/>
      <c r="D635" s="68"/>
      <c r="E635" s="67" t="s">
        <v>110</v>
      </c>
      <c r="F635" s="67" t="s">
        <v>111</v>
      </c>
      <c r="G635" s="67" t="s">
        <v>112</v>
      </c>
      <c r="H635" s="69"/>
      <c r="I635" s="74"/>
      <c r="J635" s="74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45">
      <c r="A636" s="105"/>
      <c r="B636" s="105"/>
      <c r="C636" s="17" t="s">
        <v>133</v>
      </c>
      <c r="D636" s="67">
        <v>5000</v>
      </c>
      <c r="E636" s="67">
        <v>5000</v>
      </c>
      <c r="F636" s="67">
        <v>3333</v>
      </c>
      <c r="G636" s="67">
        <v>1667</v>
      </c>
      <c r="H636" s="69">
        <v>19.149999999999999</v>
      </c>
      <c r="I636" s="65" t="s">
        <v>136</v>
      </c>
      <c r="J636" s="43">
        <f>IF(H636&gt;=15,E636,IF(H636&gt;=8,F636,IF(H636&gt;=2,G636,IF(H636&lt;2,0))))</f>
        <v>5000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45">
      <c r="A637" s="127">
        <v>2</v>
      </c>
      <c r="B637" s="128" t="s">
        <v>114</v>
      </c>
      <c r="C637" s="68"/>
      <c r="D637" s="67"/>
      <c r="E637" s="129" t="s">
        <v>81</v>
      </c>
      <c r="F637" s="102"/>
      <c r="G637" s="103"/>
      <c r="H637" s="69"/>
      <c r="I637" s="65"/>
      <c r="J637" s="44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45">
      <c r="A638" s="105"/>
      <c r="B638" s="105"/>
      <c r="C638" s="17" t="s">
        <v>133</v>
      </c>
      <c r="D638" s="67">
        <v>5000</v>
      </c>
      <c r="E638" s="63"/>
      <c r="F638" s="63">
        <v>100</v>
      </c>
      <c r="G638" s="63" t="s">
        <v>46</v>
      </c>
      <c r="H638" s="99">
        <f ca="1">IFERROR(__xludf.DUMMYFUNCTION("IMPORTRANGE(""https://docs.google.com/spreadsheets/d/1jbnxRRW3-7RhuTkyglMgsvpBt7ui-HE3C9jpkY9egqs/edit"",""MEI 2021!F33"") "),0.7)</f>
        <v>0.7</v>
      </c>
      <c r="I638" s="65" t="s">
        <v>46</v>
      </c>
      <c r="J638" s="43">
        <f ca="1">H638/F638*D638*100</f>
        <v>3499.9999999999991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45">
      <c r="A639" s="127">
        <v>3</v>
      </c>
      <c r="B639" s="130" t="s">
        <v>115</v>
      </c>
      <c r="C639" s="68"/>
      <c r="D639" s="67"/>
      <c r="E639" s="67" t="s">
        <v>116</v>
      </c>
      <c r="F639" s="67" t="s">
        <v>117</v>
      </c>
      <c r="G639" s="67" t="s">
        <v>118</v>
      </c>
      <c r="H639" s="69"/>
      <c r="I639" s="95"/>
      <c r="J639" s="44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45">
      <c r="A640" s="105"/>
      <c r="B640" s="105"/>
      <c r="C640" s="17" t="s">
        <v>133</v>
      </c>
      <c r="D640" s="67">
        <v>5000</v>
      </c>
      <c r="E640" s="67">
        <v>5000</v>
      </c>
      <c r="F640" s="67">
        <v>2500</v>
      </c>
      <c r="G640" s="67">
        <v>0</v>
      </c>
      <c r="H640" s="69"/>
      <c r="I640" s="95" t="s">
        <v>137</v>
      </c>
      <c r="J640" s="43">
        <f>IF(H640&gt;=2,E640,IF(H640=1,F640,IF(H640=0,0)))</f>
        <v>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45">
      <c r="A641" s="96"/>
      <c r="B641" s="62"/>
      <c r="C641" s="97"/>
      <c r="D641" s="67"/>
      <c r="E641" s="67"/>
      <c r="F641" s="67"/>
      <c r="G641" s="67"/>
      <c r="H641" s="69"/>
      <c r="I641" s="74"/>
      <c r="J641" s="74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7">
      <c r="A642" s="96"/>
      <c r="B642" s="62"/>
      <c r="C642" s="97">
        <v>1</v>
      </c>
      <c r="D642" s="67"/>
      <c r="E642" s="67"/>
      <c r="F642" s="67"/>
      <c r="G642" s="67"/>
      <c r="H642" s="131" t="s">
        <v>44</v>
      </c>
      <c r="I642" s="125"/>
      <c r="J642" s="100" t="e">
        <f ca="1">SUM(J574:J641)</f>
        <v>#VALUE!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3"/>
    <row r="844" spans="1:26" ht="15.75" customHeight="1" x14ac:dyDescent="0.3"/>
    <row r="845" spans="1:26" ht="15.75" customHeight="1" x14ac:dyDescent="0.3"/>
    <row r="846" spans="1:26" ht="15.75" customHeight="1" x14ac:dyDescent="0.3"/>
    <row r="847" spans="1:26" ht="15.75" customHeight="1" x14ac:dyDescent="0.3"/>
    <row r="848" spans="1:26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1">
    <mergeCell ref="B394:B395"/>
    <mergeCell ref="B396:B397"/>
    <mergeCell ref="A479:A480"/>
    <mergeCell ref="B479:B480"/>
    <mergeCell ref="H482:I482"/>
    <mergeCell ref="I486:J486"/>
    <mergeCell ref="B398:B399"/>
    <mergeCell ref="A405:B405"/>
    <mergeCell ref="B461:B463"/>
    <mergeCell ref="B464:B466"/>
    <mergeCell ref="B467:B469"/>
    <mergeCell ref="A475:A476"/>
    <mergeCell ref="B475:B476"/>
    <mergeCell ref="A486:B486"/>
    <mergeCell ref="H401:I401"/>
    <mergeCell ref="I405:J405"/>
    <mergeCell ref="E441:G441"/>
    <mergeCell ref="E449:G449"/>
    <mergeCell ref="E452:G452"/>
    <mergeCell ref="E456:G456"/>
    <mergeCell ref="E314:G314"/>
    <mergeCell ref="H319:I319"/>
    <mergeCell ref="I323:J323"/>
    <mergeCell ref="E360:G360"/>
    <mergeCell ref="E368:G368"/>
    <mergeCell ref="E371:G371"/>
    <mergeCell ref="E375:G375"/>
    <mergeCell ref="A635:A636"/>
    <mergeCell ref="B635:B636"/>
    <mergeCell ref="A637:A638"/>
    <mergeCell ref="B637:B638"/>
    <mergeCell ref="E637:G637"/>
    <mergeCell ref="A639:A640"/>
    <mergeCell ref="B639:B640"/>
    <mergeCell ref="H642:I642"/>
    <mergeCell ref="E601:G601"/>
    <mergeCell ref="E609:G609"/>
    <mergeCell ref="E612:G612"/>
    <mergeCell ref="E616:G616"/>
    <mergeCell ref="B621:B623"/>
    <mergeCell ref="B624:B626"/>
    <mergeCell ref="B627:B629"/>
    <mergeCell ref="A559:A560"/>
    <mergeCell ref="B559:B560"/>
    <mergeCell ref="H562:I562"/>
    <mergeCell ref="A566:B566"/>
    <mergeCell ref="I566:J566"/>
    <mergeCell ref="B541:B543"/>
    <mergeCell ref="B544:B546"/>
    <mergeCell ref="B547:B549"/>
    <mergeCell ref="A555:A556"/>
    <mergeCell ref="B555:B556"/>
    <mergeCell ref="B557:B558"/>
    <mergeCell ref="E557:G557"/>
    <mergeCell ref="B301:B303"/>
    <mergeCell ref="A477:A478"/>
    <mergeCell ref="B477:B478"/>
    <mergeCell ref="E477:G477"/>
    <mergeCell ref="E521:G521"/>
    <mergeCell ref="E529:G529"/>
    <mergeCell ref="E532:G532"/>
    <mergeCell ref="E536:G536"/>
    <mergeCell ref="A557:A558"/>
    <mergeCell ref="B304:B306"/>
    <mergeCell ref="A312:A313"/>
    <mergeCell ref="B312:B313"/>
    <mergeCell ref="A314:A315"/>
    <mergeCell ref="B314:B315"/>
    <mergeCell ref="A316:A317"/>
    <mergeCell ref="A323:B323"/>
    <mergeCell ref="A396:A397"/>
    <mergeCell ref="A398:A399"/>
    <mergeCell ref="E396:G396"/>
    <mergeCell ref="B316:B317"/>
    <mergeCell ref="B380:B382"/>
    <mergeCell ref="B383:B385"/>
    <mergeCell ref="B386:B388"/>
    <mergeCell ref="A394:A395"/>
    <mergeCell ref="H160:I160"/>
    <mergeCell ref="A164:B164"/>
    <mergeCell ref="I164:J164"/>
    <mergeCell ref="E235:G235"/>
    <mergeCell ref="E278:G278"/>
    <mergeCell ref="E286:G286"/>
    <mergeCell ref="E289:G289"/>
    <mergeCell ref="E293:G293"/>
    <mergeCell ref="B298:B300"/>
    <mergeCell ref="B119:B120"/>
    <mergeCell ref="E119:G119"/>
    <mergeCell ref="A119:A120"/>
    <mergeCell ref="A130:A131"/>
    <mergeCell ref="B130:B131"/>
    <mergeCell ref="E130:G130"/>
    <mergeCell ref="C135:C137"/>
    <mergeCell ref="C138:C140"/>
    <mergeCell ref="C141:C143"/>
    <mergeCell ref="E73:G73"/>
    <mergeCell ref="H78:I78"/>
    <mergeCell ref="I82:J82"/>
    <mergeCell ref="B48:B49"/>
    <mergeCell ref="C53:C55"/>
    <mergeCell ref="C56:C58"/>
    <mergeCell ref="C59:C61"/>
    <mergeCell ref="A67:A68"/>
    <mergeCell ref="B67:B68"/>
    <mergeCell ref="A69:A70"/>
    <mergeCell ref="A71:A72"/>
    <mergeCell ref="B71:B72"/>
    <mergeCell ref="A73:A74"/>
    <mergeCell ref="B73:B74"/>
    <mergeCell ref="A82:B82"/>
    <mergeCell ref="A1:B1"/>
    <mergeCell ref="I1:J1"/>
    <mergeCell ref="A37:A38"/>
    <mergeCell ref="B37:B38"/>
    <mergeCell ref="E37:G37"/>
    <mergeCell ref="A48:A49"/>
    <mergeCell ref="E48:G48"/>
    <mergeCell ref="B69:B70"/>
    <mergeCell ref="E69:G69"/>
    <mergeCell ref="A243:B243"/>
    <mergeCell ref="I243:J243"/>
    <mergeCell ref="C215:C217"/>
    <mergeCell ref="C218:C220"/>
    <mergeCell ref="C221:C223"/>
    <mergeCell ref="A229:A230"/>
    <mergeCell ref="B229:B230"/>
    <mergeCell ref="B231:B232"/>
    <mergeCell ref="E231:G231"/>
    <mergeCell ref="A210:A211"/>
    <mergeCell ref="B210:B211"/>
    <mergeCell ref="E210:G210"/>
    <mergeCell ref="A231:A232"/>
    <mergeCell ref="A233:A234"/>
    <mergeCell ref="B233:B234"/>
    <mergeCell ref="A235:A236"/>
    <mergeCell ref="B235:B236"/>
    <mergeCell ref="H240:I240"/>
    <mergeCell ref="A149:A150"/>
    <mergeCell ref="B149:B150"/>
    <mergeCell ref="A151:A152"/>
    <mergeCell ref="B151:B152"/>
    <mergeCell ref="E151:G151"/>
    <mergeCell ref="B153:B154"/>
    <mergeCell ref="E155:G155"/>
    <mergeCell ref="A153:A154"/>
    <mergeCell ref="A199:A200"/>
    <mergeCell ref="B199:B200"/>
    <mergeCell ref="E199:G199"/>
    <mergeCell ref="A155:A156"/>
    <mergeCell ref="B155:B15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Advertiser</vt:lpstr>
      <vt:lpstr>ADV RISET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Prince Richard</cp:lastModifiedBy>
  <dcterms:created xsi:type="dcterms:W3CDTF">2026-06-05T06:04:53Z</dcterms:created>
  <dcterms:modified xsi:type="dcterms:W3CDTF">2026-06-05T06:09:19Z</dcterms:modified>
</cp:coreProperties>
</file>